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案件基本信息" sheetId="1" r:id="rId1"/>
    <sheet name="Sheet1" sheetId="2" r:id="rId2"/>
  </sheets>
  <definedNames>
    <definedName name="_xlnm._FilterDatabase" localSheetId="0" hidden="1">案件基本信息!$A$1:$AN$500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<sst xmlns="http://schemas.openxmlformats.org/spreadsheetml/2006/main" count="80" uniqueCount="32">
  <si>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合同编号</t>
  </si>
  <si>
    <t>申请人类型</t>
  </si>
  <si>
    <t>企业名称</t>
  </si>
  <si>
    <t>证照类型</t>
  </si>
  <si>
    <t>证照号码</t>
  </si>
  <si>
    <t>联系人</t>
  </si>
  <si>
    <t>文书送达手机</t>
  </si>
  <si>
    <t>企业法定代表人</t>
  </si>
  <si>
    <t>证件类型</t>
  </si>
  <si>
    <t>证件号码</t>
  </si>
  <si>
    <t>地址</t>
  </si>
  <si>
    <t>邮箱</t>
  </si>
  <si>
    <t>被申请人类型</t>
  </si>
  <si>
    <t>企业名称(自然人为空）</t>
  </si>
  <si>
    <t>证照类型(自然人为空）</t>
  </si>
  <si>
    <t>证照号码(自然人为空）</t>
  </si>
  <si>
    <t>联系人(自然人为空）</t>
  </si>
  <si>
    <t>企业法定代表人/自然人姓名</t>
  </si>
  <si>
    <t>民族（自然人必填）</t>
  </si>
  <si>
    <t>性别</t>
  </si>
  <si>
    <t>委托人姓名</t>
  </si>
  <si>
    <t>代理人姓名</t>
  </si>
  <si>
    <t>手机</t>
  </si>
  <si>
    <t>电子邮箱</t>
  </si>
  <si>
    <t>联系地址</t>
  </si>
  <si>
    <t>工作单位</t>
  </si>
  <si>
    <t>类型</t>
  </si>
  <si>
    <t>民族</t>
  </si>
  <si>
    <t>请求人</t>
  </si>
  <si>
    <t>请求金额</t>
  </si>
  <si>
    <t>请求内容</t>
  </si>
  <si>
    <t>事实与理由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</si>
</sst>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sz val="10"/>
      <color theme="1"/>
      <name val="黑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6">
      <alignment vertical="center"/>
    </xf>
    <xf numFmtId="0" fontId="0" fillId="0" borderId="0" xfId="0" applyAlignment="1">
      <alignment vertical="center" wrapText="1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6" applyProtection="1">
      <alignment vertical="center"/>
      <protection locked="0"/>
    </xf>
    <xf numFmtId="0" fontId="0" fillId="0" borderId="0" xfId="0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0"/>
  <sheetViews>
    <sheetView tabSelected="1" zoomScale="85" zoomScaleNormal="85" topLeftCell="H1" workbookViewId="0">
      <selection activeCell="V2" sqref="V2"/>
    </sheetView>
  </sheetViews>
  <sheetFormatPr defaultColWidth="8.725" defaultRowHeight="20" customHeight="1"/>
  <cols>
    <col min="1" max="1" width="22.75" style="5" customWidth="1"/>
    <col min="2" max="2" width="7.625" style="5" customWidth="1"/>
    <col min="3" max="3" width="19.875" style="5" customWidth="1"/>
    <col min="4" max="4" width="8.375" style="5" customWidth="1"/>
    <col min="5" max="5" width="17.875" style="6" customWidth="1"/>
    <col min="6" max="6" width="6.625" style="6" customWidth="1"/>
    <col min="7" max="7" width="11.125" style="6" customWidth="1"/>
    <col min="8" max="8" width="7.625" style="6" customWidth="1"/>
    <col min="9" max="9" width="7.625" style="5" customWidth="1"/>
    <col min="10" max="10" width="17.875" style="6" customWidth="1"/>
    <col min="11" max="11" width="21.875" style="6" customWidth="1"/>
    <col min="12" max="12" width="18.875" style="6" customWidth="1"/>
    <col min="13" max="13" width="7.625" style="5" customWidth="1"/>
    <col min="14" max="17" width="8.50833333333333" style="6" customWidth="1"/>
    <col min="18" max="18" width="11.125" style="5" customWidth="1"/>
    <col min="19" max="19" width="8.50833333333333" style="5" customWidth="1"/>
    <col min="20" max="20" width="7.625" style="5" customWidth="1"/>
    <col min="21" max="21" width="17.875" style="5" customWidth="1"/>
    <col min="22" max="22" width="15" style="5" customWidth="1"/>
    <col min="23" max="23" width="19.875" style="5" customWidth="1"/>
    <col min="24" max="24" width="19.5583333333333" style="5" customWidth="1"/>
    <col min="25" max="25" width="4.125" style="5" customWidth="1"/>
    <col min="26" max="36" width="8.725" style="6"/>
    <col min="37" max="37" width="8.725" style="5"/>
    <col min="38" max="38" width="9.44166666666667" style="5"/>
    <col min="39" max="40" width="8.725" style="5"/>
  </cols>
  <sheetData>
    <row r="1" ht="36" spans="1:40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7" t="s">
        <v>6</v>
      </c>
      <c r="S1" s="7" t="s">
        <v>17</v>
      </c>
      <c r="T1" s="7" t="s">
        <v>8</v>
      </c>
      <c r="U1" s="7" t="s">
        <v>9</v>
      </c>
      <c r="V1" s="7" t="s">
        <v>18</v>
      </c>
      <c r="W1" s="7" t="s">
        <v>10</v>
      </c>
      <c r="X1" s="7" t="s">
        <v>11</v>
      </c>
      <c r="Y1" s="7" t="s">
        <v>19</v>
      </c>
      <c r="Z1" s="10" t="s">
        <v>20</v>
      </c>
      <c r="AA1" s="10" t="s">
        <v>21</v>
      </c>
      <c r="AB1" s="10" t="s">
        <v>8</v>
      </c>
      <c r="AC1" s="10" t="s">
        <v>9</v>
      </c>
      <c r="AD1" s="10" t="s">
        <v>22</v>
      </c>
      <c r="AE1" s="10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19</v>
      </c>
      <c r="AK1" s="7" t="s">
        <v>28</v>
      </c>
      <c r="AL1" s="11" t="s">
        <v>29</v>
      </c>
      <c r="AM1" s="7" t="s">
        <v>30</v>
      </c>
      <c r="AN1" s="7" t="s">
        <v>31</v>
      </c>
    </row>
    <row r="2" ht="42" customHeight="1" spans="1:40">
      <c r="A2" s="5" t="str">
        <f>IF(Sheet1!$A2="","",Sheet1!$A2)</f>
        <v/>
      </c>
      <c r="B2" s="5" t="str">
        <f>IF($A2="","","企业")</f>
        <v/>
      </c>
      <c r="C2" s="5" t="str">
        <f>IF($A2="","",IFERROR(VLOOKUP($A2,Sheet1!$A:$AN,3,0),""))</f>
        <v/>
      </c>
      <c r="D2" s="5" t="str">
        <f>IF($C2="","","营业执照")</f>
        <v/>
      </c>
      <c r="I2" s="5" t="str">
        <f>IF($C2="","","身份证")</f>
        <v/>
      </c>
      <c r="L2" s="12"/>
      <c r="M2" s="5" t="str">
        <f>IF($C2="","","自然人")</f>
        <v/>
      </c>
      <c r="R2" s="5" t="str">
        <f>IF($A2="","",IFERROR(VLOOKUP($A2,Sheet1!$A:$AN,18,0),""))</f>
        <v/>
      </c>
      <c r="S2" s="5" t="str">
        <f>IF($A2="","",IFERROR(VLOOKUP($A2,Sheet1!$A:$AN,19,0),""))</f>
        <v/>
      </c>
      <c r="T2" s="5" t="str">
        <f>IF($S2="","","身份证")</f>
        <v/>
      </c>
      <c r="U2" s="5" t="str">
        <f>IF($A2="","",IFERROR(VLOOKUP($A2,Sheet1!$A:$AN,21,0),""))</f>
        <v/>
      </c>
      <c r="V2" s="5" t="str">
        <f>IF($A2="","",IFERROR(SUBSTITUTE(VLOOKUP($A2,Sheet1!$A:$AN,22,0),"族",""),""))</f>
        <v/>
      </c>
      <c r="W2" s="5" t="str">
        <f>IF($A2="","",IFERROR(VLOOKUP($A2,Sheet1!$A:$AN,23,0),""))</f>
        <v/>
      </c>
      <c r="X2" s="5" t="str">
        <f>IF($A2="","",IFERROR(VLOOKUP($A2,Sheet1!$A:$AN,24,0),""))</f>
        <v/>
      </c>
      <c r="Y2" s="5" t="str">
        <f>IF($A2="","",IFERROR(VLOOKUP($A2,Sheet1!$A:$AN,25,0),""))</f>
        <v/>
      </c>
      <c r="AK2" s="5" t="str">
        <f>IF($A2="","",IFERROR(VLOOKUP($A2,Sheet1!$A:$AN,37,0),""))</f>
        <v/>
      </c>
      <c r="AL2" s="13" t="str">
        <f>IF($A2="","",IFERROR(VLOOKUP($A2,Sheet1!$A:$AN,38,0),""))</f>
        <v/>
      </c>
      <c r="AM2" s="13" t="str">
        <f>IF($A2="","",IFERROR(VLOOKUP($A2,Sheet1!$A:$AN,39,0),""))</f>
        <v/>
      </c>
      <c r="AN2" s="13" t="str">
        <f>IF($A2="","",IFERROR(VLOOKUP($A2,Sheet1!$A:$AN,40,0),""))</f>
        <v/>
      </c>
    </row>
    <row r="3" customHeight="1" spans="1:40">
      <c r="A3" s="5" t="str">
        <f>IF(Sheet1!$A3="","",Sheet1!$A3)</f>
        <v/>
      </c>
      <c r="B3" s="5" t="str">
        <f t="shared" ref="B3:B66" si="0">IF($A3="","","企业")</f>
        <v/>
      </c>
      <c r="C3" s="5" t="str">
        <f>IF($A3="","",IFERROR(VLOOKUP($A3,Sheet1!$A:$AN,3,0),""))</f>
        <v/>
      </c>
      <c r="D3" s="5" t="str">
        <f>IF($C3="","","营业执照")</f>
        <v/>
      </c>
      <c r="I3" s="5" t="str">
        <f t="shared" ref="I3:I66" si="1">IF($C3="","","身份证")</f>
        <v/>
      </c>
      <c r="L3" s="12"/>
      <c r="M3" s="5" t="str">
        <f t="shared" ref="M3:M66" si="2">IF($C3="","","自然人")</f>
        <v/>
      </c>
      <c r="R3" s="5" t="str">
        <f>IF($A3="","",IFERROR(VLOOKUP($A3,Sheet1!A:AN,18,0),""))</f>
        <v/>
      </c>
      <c r="S3" s="5" t="str">
        <f>IF($A3="","",IFERROR(VLOOKUP($A3,Sheet1!$A:$AN,19,0),""))</f>
        <v/>
      </c>
      <c r="T3" s="5" t="str">
        <f t="shared" ref="T3:T66" si="3">IF($S3="","","身份证")</f>
        <v/>
      </c>
      <c r="U3" s="5" t="str">
        <f>IF($A3="","",IFERROR(VLOOKUP($A3,Sheet1!$A:$AN,21,0),""))</f>
        <v/>
      </c>
      <c r="V3" s="5" t="str">
        <f>IF($A3="","",IFERROR(SUBSTITUTE(VLOOKUP($A3,Sheet1!$A:$AN,22,0),"族",""),""))</f>
        <v/>
      </c>
      <c r="W3" s="5" t="str">
        <f>IF($A3="","",IFERROR(VLOOKUP($A3,Sheet1!$A:$AN,23,0),""))</f>
        <v/>
      </c>
      <c r="X3" s="5" t="str">
        <f>IF($A3="","",IFERROR(VLOOKUP($A3,Sheet1!$A:$AN,24,0),""))</f>
        <v/>
      </c>
      <c r="Y3" s="5" t="str">
        <f>IF($A3="","",IFERROR(VLOOKUP($A3,Sheet1!$A:$AN,25,0),""))</f>
        <v/>
      </c>
      <c r="AK3" s="5" t="str">
        <f>IF($A3="","",IFERROR(VLOOKUP($A3,Sheet1!$A:$AN,37,0),""))</f>
        <v/>
      </c>
      <c r="AL3" s="13" t="str">
        <f>IF($A3="","",IFERROR(VLOOKUP($A3,Sheet1!$A:$AN,38,0),""))</f>
        <v/>
      </c>
      <c r="AM3" s="13" t="str">
        <f>IF($A3="","",IFERROR(VLOOKUP($A3,Sheet1!$A:$AN,39,0),""))</f>
        <v/>
      </c>
      <c r="AN3" s="13" t="str">
        <f>IF($A3="","",IFERROR(VLOOKUP($A3,Sheet1!$A:$AN,40,0),""))</f>
        <v/>
      </c>
    </row>
    <row r="4" customHeight="1" spans="1:40">
      <c r="A4" s="5" t="str">
        <f>IF(Sheet1!$A4="","",Sheet1!$A4)</f>
        <v/>
      </c>
      <c r="B4" s="5" t="str">
        <f t="shared" si="0"/>
        <v/>
      </c>
      <c r="C4" s="5" t="str">
        <f>IF($A4="","",IFERROR(VLOOKUP($A4,Sheet1!$A:$AN,3,0),""))</f>
        <v/>
      </c>
      <c r="D4" s="5" t="str">
        <f>IF($C4="","","营业执照")</f>
        <v/>
      </c>
      <c r="I4" s="5" t="str">
        <f t="shared" si="1"/>
        <v/>
      </c>
      <c r="L4" s="12"/>
      <c r="M4" s="5" t="str">
        <f t="shared" si="2"/>
        <v/>
      </c>
      <c r="R4" s="5" t="str">
        <f>IF($A4="","",IFERROR(VLOOKUP($A4,Sheet1!A:AN,18,0),""))</f>
        <v/>
      </c>
      <c r="S4" s="5" t="str">
        <f>IF($A4="","",IFERROR(VLOOKUP($A4,Sheet1!$A:$AN,19,0),""))</f>
        <v/>
      </c>
      <c r="T4" s="5" t="str">
        <f t="shared" si="3"/>
        <v/>
      </c>
      <c r="U4" s="5" t="str">
        <f>IF($A4="","",IFERROR(VLOOKUP($A4,Sheet1!$A:$AN,21,0),""))</f>
        <v/>
      </c>
      <c r="V4" s="5" t="str">
        <f>IF($A4="","",IFERROR(SUBSTITUTE(VLOOKUP($A4,Sheet1!$A:$AN,22,0),"族",""),""))</f>
        <v/>
      </c>
      <c r="W4" s="5" t="str">
        <f>IF($A4="","",IFERROR(VLOOKUP($A4,Sheet1!$A:$AN,23,0),""))</f>
        <v/>
      </c>
      <c r="X4" s="5" t="str">
        <f>IF($A4="","",IFERROR(VLOOKUP($A4,Sheet1!$A:$AN,24,0),""))</f>
        <v/>
      </c>
      <c r="Y4" s="5" t="str">
        <f>IF($A4="","",IFERROR(VLOOKUP($A4,Sheet1!$A:$AN,25,0),""))</f>
        <v/>
      </c>
      <c r="AK4" s="5" t="str">
        <f>IF($A4="","",IFERROR(VLOOKUP($A4,Sheet1!$A:$AN,37,0),""))</f>
        <v/>
      </c>
      <c r="AL4" s="13" t="str">
        <f>IF($A4="","",IFERROR(VLOOKUP($A4,Sheet1!$A:$AN,38,0),""))</f>
        <v/>
      </c>
      <c r="AM4" s="13" t="str">
        <f>IF($A4="","",IFERROR(VLOOKUP($A4,Sheet1!$A:$AN,39,0),""))</f>
        <v/>
      </c>
      <c r="AN4" s="13" t="str">
        <f>IF($A4="","",IFERROR(VLOOKUP($A4,Sheet1!$A:$AN,40,0),""))</f>
        <v/>
      </c>
    </row>
    <row r="5" customHeight="1" spans="1:40">
      <c r="A5" s="5" t="str">
        <f>IF(Sheet1!$A5="","",Sheet1!$A5)</f>
        <v/>
      </c>
      <c r="B5" s="5" t="str">
        <f t="shared" si="0"/>
        <v/>
      </c>
      <c r="C5" s="5" t="str">
        <f>IF($A5="","",IFERROR(VLOOKUP($A5,Sheet1!$A:$AN,3,0),""))</f>
        <v/>
      </c>
      <c r="D5" s="5" t="str">
        <f t="shared" ref="D3:D66" si="4">IF($C5="","","营业执照")</f>
        <v/>
      </c>
      <c r="I5" s="5" t="str">
        <f t="shared" si="1"/>
        <v/>
      </c>
      <c r="L5" s="12"/>
      <c r="M5" s="5" t="str">
        <f t="shared" si="2"/>
        <v/>
      </c>
      <c r="R5" s="5" t="str">
        <f>IF($A5="","",IFERROR(VLOOKUP($A5,Sheet1!A:AN,18,0),""))</f>
        <v/>
      </c>
      <c r="S5" s="5" t="str">
        <f>IF($A5="","",IFERROR(VLOOKUP($A5,Sheet1!$A:$AN,19,0),""))</f>
        <v/>
      </c>
      <c r="T5" s="5" t="str">
        <f t="shared" si="3"/>
        <v/>
      </c>
      <c r="U5" s="5" t="str">
        <f>IF($A5="","",IFERROR(VLOOKUP($A5,Sheet1!$A:$AN,21,0),""))</f>
        <v/>
      </c>
      <c r="V5" s="5" t="str">
        <f>IF($A5="","",IFERROR(SUBSTITUTE(VLOOKUP($A5,Sheet1!$A:$AN,22,0),"族",""),""))</f>
        <v/>
      </c>
      <c r="W5" s="5" t="str">
        <f>IF($A5="","",IFERROR(VLOOKUP($A5,Sheet1!$A:$AN,23,0),""))</f>
        <v/>
      </c>
      <c r="X5" s="5" t="str">
        <f>IF($A5="","",IFERROR(VLOOKUP($A5,Sheet1!$A:$AN,24,0),""))</f>
        <v/>
      </c>
      <c r="Y5" s="5" t="str">
        <f>IF($A5="","",IFERROR(VLOOKUP($A5,Sheet1!$A:$AN,25,0),""))</f>
        <v/>
      </c>
      <c r="AK5" s="5" t="str">
        <f>IF($A5="","",IFERROR(VLOOKUP($A5,Sheet1!$A:$AN,37,0),""))</f>
        <v/>
      </c>
      <c r="AL5" s="13" t="str">
        <f>IF($A5="","",IFERROR(VLOOKUP($A5,Sheet1!$A:$AN,38,0),""))</f>
        <v/>
      </c>
      <c r="AM5" s="13" t="str">
        <f>IF($A5="","",IFERROR(VLOOKUP($A5,Sheet1!$A:$AN,39,0),""))</f>
        <v/>
      </c>
      <c r="AN5" s="13" t="str">
        <f>IF($A5="","",IFERROR(VLOOKUP($A5,Sheet1!$A:$AN,40,0),""))</f>
        <v/>
      </c>
    </row>
    <row r="6" customHeight="1" spans="1:40">
      <c r="A6" s="5" t="str">
        <f>IF(Sheet1!$A6="","",Sheet1!$A6)</f>
        <v/>
      </c>
      <c r="B6" s="5" t="str">
        <f t="shared" si="0"/>
        <v/>
      </c>
      <c r="C6" s="5" t="str">
        <f>IF($A6="","",IFERROR(VLOOKUP($A6,Sheet1!$A:$AN,3,0),""))</f>
        <v/>
      </c>
      <c r="D6" s="5" t="str">
        <f t="shared" si="4"/>
        <v/>
      </c>
      <c r="I6" s="5" t="str">
        <f t="shared" si="1"/>
        <v/>
      </c>
      <c r="L6" s="12"/>
      <c r="M6" s="5" t="str">
        <f t="shared" si="2"/>
        <v/>
      </c>
      <c r="R6" s="5" t="str">
        <f>IF($A6="","",IFERROR(VLOOKUP($A6,Sheet1!A:AN,18,0),""))</f>
        <v/>
      </c>
      <c r="S6" s="5" t="str">
        <f>IF($A6="","",IFERROR(VLOOKUP($A6,Sheet1!$A:$AN,19,0),""))</f>
        <v/>
      </c>
      <c r="T6" s="5" t="str">
        <f t="shared" si="3"/>
        <v/>
      </c>
      <c r="U6" s="5" t="str">
        <f>IF($A6="","",IFERROR(VLOOKUP($A6,Sheet1!$A:$AN,21,0),""))</f>
        <v/>
      </c>
      <c r="V6" s="5" t="str">
        <f>IF($A6="","",IFERROR(SUBSTITUTE(VLOOKUP($A6,Sheet1!$A:$AN,22,0),"族",""),""))</f>
        <v/>
      </c>
      <c r="W6" s="5" t="str">
        <f>IF($A6="","",IFERROR(VLOOKUP($A6,Sheet1!$A:$AN,23,0),""))</f>
        <v/>
      </c>
      <c r="X6" s="5" t="str">
        <f>IF($A6="","",IFERROR(VLOOKUP($A6,Sheet1!$A:$AN,24,0),""))</f>
        <v/>
      </c>
      <c r="Y6" s="5" t="str">
        <f>IF($A6="","",IFERROR(VLOOKUP($A6,Sheet1!$A:$AN,25,0),""))</f>
        <v/>
      </c>
      <c r="AK6" s="5" t="str">
        <f>IF($A6="","",IFERROR(VLOOKUP($A6,Sheet1!$A:$AN,37,0),""))</f>
        <v/>
      </c>
      <c r="AL6" s="13" t="str">
        <f>IF($A6="","",IFERROR(VLOOKUP($A6,Sheet1!$A:$AN,38,0),""))</f>
        <v/>
      </c>
      <c r="AM6" s="13" t="str">
        <f>IF($A6="","",IFERROR(VLOOKUP($A6,Sheet1!$A:$AN,39,0),""))</f>
        <v/>
      </c>
      <c r="AN6" s="13" t="str">
        <f>IF($A6="","",IFERROR(VLOOKUP($A6,Sheet1!$A:$AN,40,0),""))</f>
        <v/>
      </c>
    </row>
    <row r="7" customHeight="1" spans="1:40">
      <c r="A7" s="5" t="str">
        <f>IF(Sheet1!$A7="","",Sheet1!$A7)</f>
        <v/>
      </c>
      <c r="B7" s="5" t="str">
        <f t="shared" si="0"/>
        <v/>
      </c>
      <c r="C7" s="5" t="str">
        <f>IF($A7="","",IFERROR(VLOOKUP($A7,Sheet1!$A:$AN,3,0),""))</f>
        <v/>
      </c>
      <c r="D7" s="5" t="str">
        <f t="shared" si="4"/>
        <v/>
      </c>
      <c r="I7" s="5" t="str">
        <f t="shared" si="1"/>
        <v/>
      </c>
      <c r="L7" s="12"/>
      <c r="M7" s="5" t="str">
        <f t="shared" si="2"/>
        <v/>
      </c>
      <c r="R7" s="5" t="str">
        <f>IF($A7="","",IFERROR(VLOOKUP($A7,Sheet1!A:AN,18,0),""))</f>
        <v/>
      </c>
      <c r="S7" s="5" t="str">
        <f>IF($A7="","",IFERROR(VLOOKUP($A7,Sheet1!$A:$AN,19,0),""))</f>
        <v/>
      </c>
      <c r="T7" s="5" t="str">
        <f t="shared" si="3"/>
        <v/>
      </c>
      <c r="U7" s="5" t="str">
        <f>IF($A7="","",IFERROR(VLOOKUP($A7,Sheet1!$A:$AN,21,0),""))</f>
        <v/>
      </c>
      <c r="V7" s="5" t="str">
        <f>IF($A7="","",IFERROR(SUBSTITUTE(VLOOKUP($A7,Sheet1!$A:$AN,22,0),"族",""),""))</f>
        <v/>
      </c>
      <c r="W7" s="5" t="str">
        <f>IF($A7="","",IFERROR(VLOOKUP($A7,Sheet1!$A:$AN,23,0),""))</f>
        <v/>
      </c>
      <c r="X7" s="5" t="str">
        <f>IF($A7="","",IFERROR(VLOOKUP($A7,Sheet1!$A:$AN,24,0),""))</f>
        <v/>
      </c>
      <c r="Y7" s="5" t="str">
        <f>IF($A7="","",IFERROR(VLOOKUP($A7,Sheet1!$A:$AN,25,0),""))</f>
        <v/>
      </c>
      <c r="AK7" s="5" t="str">
        <f>IF($A7="","",IFERROR(VLOOKUP($A7,Sheet1!$A:$AN,37,0),""))</f>
        <v/>
      </c>
      <c r="AL7" s="13" t="str">
        <f>IF($A7="","",IFERROR(VLOOKUP($A7,Sheet1!$A:$AN,38,0),""))</f>
        <v/>
      </c>
      <c r="AM7" s="13" t="str">
        <f>IF($A7="","",IFERROR(VLOOKUP($A7,Sheet1!$A:$AN,39,0),""))</f>
        <v/>
      </c>
      <c r="AN7" s="13" t="str">
        <f>IF($A7="","",IFERROR(VLOOKUP($A7,Sheet1!$A:$AN,40,0),""))</f>
        <v/>
      </c>
    </row>
    <row r="8" customHeight="1" spans="1:40">
      <c r="A8" s="5" t="str">
        <f>IF(Sheet1!$A8="","",Sheet1!$A8)</f>
        <v/>
      </c>
      <c r="B8" s="5" t="str">
        <f t="shared" si="0"/>
        <v/>
      </c>
      <c r="C8" s="5" t="str">
        <f>IF($A8="","",IFERROR(VLOOKUP($A8,Sheet1!$A:$AN,3,0),""))</f>
        <v/>
      </c>
      <c r="D8" s="5" t="str">
        <f t="shared" si="4"/>
        <v/>
      </c>
      <c r="I8" s="5" t="str">
        <f t="shared" si="1"/>
        <v/>
      </c>
      <c r="L8" s="12"/>
      <c r="M8" s="5" t="str">
        <f t="shared" si="2"/>
        <v/>
      </c>
      <c r="R8" s="5" t="str">
        <f>IF($A8="","",IFERROR(VLOOKUP($A8,Sheet1!A:AN,18,0),""))</f>
        <v/>
      </c>
      <c r="S8" s="5" t="str">
        <f>IF($A8="","",IFERROR(VLOOKUP($A8,Sheet1!$A:$AN,19,0),""))</f>
        <v/>
      </c>
      <c r="T8" s="5" t="str">
        <f t="shared" si="3"/>
        <v/>
      </c>
      <c r="U8" s="5" t="str">
        <f>IF($A8="","",IFERROR(VLOOKUP($A8,Sheet1!$A:$AN,21,0),""))</f>
        <v/>
      </c>
      <c r="V8" s="5" t="str">
        <f>IF($A8="","",IFERROR(SUBSTITUTE(VLOOKUP($A8,Sheet1!$A:$AN,22,0),"族",""),""))</f>
        <v/>
      </c>
      <c r="W8" s="5" t="str">
        <f>IF($A8="","",IFERROR(VLOOKUP($A8,Sheet1!$A:$AN,23,0),""))</f>
        <v/>
      </c>
      <c r="X8" s="5" t="str">
        <f>IF($A8="","",IFERROR(VLOOKUP($A8,Sheet1!$A:$AN,24,0),""))</f>
        <v/>
      </c>
      <c r="Y8" s="5" t="str">
        <f>IF($A8="","",IFERROR(VLOOKUP($A8,Sheet1!$A:$AN,25,0),""))</f>
        <v/>
      </c>
      <c r="AK8" s="5" t="str">
        <f>IF($A8="","",IFERROR(VLOOKUP($A8,Sheet1!$A:$AN,37,0),""))</f>
        <v/>
      </c>
      <c r="AL8" s="13" t="str">
        <f>IF($A8="","",IFERROR(VLOOKUP($A8,Sheet1!$A:$AN,38,0),""))</f>
        <v/>
      </c>
      <c r="AM8" s="13" t="str">
        <f>IF($A8="","",IFERROR(VLOOKUP($A8,Sheet1!$A:$AN,39,0),""))</f>
        <v/>
      </c>
      <c r="AN8" s="13" t="str">
        <f>IF($A8="","",IFERROR(VLOOKUP($A8,Sheet1!$A:$AN,40,0),""))</f>
        <v/>
      </c>
    </row>
    <row r="9" customHeight="1" spans="1:40">
      <c r="A9" s="5" t="str">
        <f>IF(Sheet1!$A9="","",Sheet1!$A9)</f>
        <v/>
      </c>
      <c r="B9" s="5" t="str">
        <f t="shared" si="0"/>
        <v/>
      </c>
      <c r="C9" s="5" t="str">
        <f>IF($A9="","",IFERROR(VLOOKUP($A9,Sheet1!$A:$AN,3,0),""))</f>
        <v/>
      </c>
      <c r="D9" s="5" t="str">
        <f t="shared" si="4"/>
        <v/>
      </c>
      <c r="I9" s="5" t="str">
        <f t="shared" si="1"/>
        <v/>
      </c>
      <c r="L9" s="12"/>
      <c r="M9" s="5" t="str">
        <f t="shared" si="2"/>
        <v/>
      </c>
      <c r="R9" s="5" t="str">
        <f>IF($A9="","",IFERROR(VLOOKUP($A9,Sheet1!A:AN,18,0),""))</f>
        <v/>
      </c>
      <c r="S9" s="5" t="str">
        <f>IF($A9="","",IFERROR(VLOOKUP($A9,Sheet1!$A:$AN,19,0),""))</f>
        <v/>
      </c>
      <c r="T9" s="5" t="str">
        <f t="shared" si="3"/>
        <v/>
      </c>
      <c r="U9" s="5" t="str">
        <f>IF($A9="","",IFERROR(VLOOKUP($A9,Sheet1!$A:$AN,21,0),""))</f>
        <v/>
      </c>
      <c r="V9" s="5" t="str">
        <f>IF($A9="","",IFERROR(SUBSTITUTE(VLOOKUP($A9,Sheet1!$A:$AN,22,0),"族",""),""))</f>
        <v/>
      </c>
      <c r="W9" s="5" t="str">
        <f>IF($A9="","",IFERROR(VLOOKUP($A9,Sheet1!$A:$AN,23,0),""))</f>
        <v/>
      </c>
      <c r="X9" s="5" t="str">
        <f>IF($A9="","",IFERROR(VLOOKUP($A9,Sheet1!$A:$AN,24,0),""))</f>
        <v/>
      </c>
      <c r="Y9" s="5" t="str">
        <f>IF($A9="","",IFERROR(VLOOKUP($A9,Sheet1!$A:$AN,25,0),""))</f>
        <v/>
      </c>
      <c r="AK9" s="5" t="str">
        <f>IF($A9="","",IFERROR(VLOOKUP($A9,Sheet1!$A:$AN,37,0),""))</f>
        <v/>
      </c>
      <c r="AL9" s="13" t="str">
        <f>IF($A9="","",IFERROR(VLOOKUP($A9,Sheet1!$A:$AN,38,0),""))</f>
        <v/>
      </c>
      <c r="AM9" s="13" t="str">
        <f>IF($A9="","",IFERROR(VLOOKUP($A9,Sheet1!$A:$AN,39,0),""))</f>
        <v/>
      </c>
      <c r="AN9" s="13" t="str">
        <f>IF($A9="","",IFERROR(VLOOKUP($A9,Sheet1!$A:$AN,40,0),""))</f>
        <v/>
      </c>
    </row>
    <row r="10" customHeight="1" spans="1:40">
      <c r="A10" s="5" t="str">
        <f>IF(Sheet1!$A10="","",Sheet1!$A10)</f>
        <v/>
      </c>
      <c r="B10" s="5" t="str">
        <f t="shared" si="0"/>
        <v/>
      </c>
      <c r="C10" s="5" t="str">
        <f>IF($A10="","",IFERROR(VLOOKUP($A10,Sheet1!$A:$AN,3,0),""))</f>
        <v/>
      </c>
      <c r="D10" s="5" t="str">
        <f t="shared" si="4"/>
        <v/>
      </c>
      <c r="I10" s="5" t="str">
        <f t="shared" si="1"/>
        <v/>
      </c>
      <c r="L10" s="12"/>
      <c r="M10" s="5" t="str">
        <f t="shared" si="2"/>
        <v/>
      </c>
      <c r="R10" s="5" t="str">
        <f>IF($A10="","",IFERROR(VLOOKUP($A10,Sheet1!A:AN,18,0),""))</f>
        <v/>
      </c>
      <c r="S10" s="5" t="str">
        <f>IF($A10="","",IFERROR(VLOOKUP($A10,Sheet1!$A:$AN,19,0),""))</f>
        <v/>
      </c>
      <c r="T10" s="5" t="str">
        <f t="shared" si="3"/>
        <v/>
      </c>
      <c r="U10" s="5" t="str">
        <f>IF($A10="","",IFERROR(VLOOKUP($A10,Sheet1!$A:$AN,21,0),""))</f>
        <v/>
      </c>
      <c r="V10" s="5" t="str">
        <f>IF($A10="","",IFERROR(SUBSTITUTE(VLOOKUP($A10,Sheet1!$A:$AN,22,0),"族",""),""))</f>
        <v/>
      </c>
      <c r="W10" s="5" t="str">
        <f>IF($A10="","",IFERROR(VLOOKUP($A10,Sheet1!$A:$AN,23,0),""))</f>
        <v/>
      </c>
      <c r="X10" s="5" t="str">
        <f>IF($A10="","",IFERROR(VLOOKUP($A10,Sheet1!$A:$AN,24,0),""))</f>
        <v/>
      </c>
      <c r="Y10" s="5" t="str">
        <f>IF($A10="","",IFERROR(VLOOKUP($A10,Sheet1!$A:$AN,25,0),""))</f>
        <v/>
      </c>
      <c r="AK10" s="5" t="str">
        <f>IF($A10="","",IFERROR(VLOOKUP($A10,Sheet1!$A:$AN,37,0),""))</f>
        <v/>
      </c>
      <c r="AL10" s="13" t="str">
        <f>IF($A10="","",IFERROR(VLOOKUP($A10,Sheet1!$A:$AN,38,0),""))</f>
        <v/>
      </c>
      <c r="AM10" s="13" t="str">
        <f>IF($A10="","",IFERROR(VLOOKUP($A10,Sheet1!$A:$AN,39,0),""))</f>
        <v/>
      </c>
      <c r="AN10" s="13" t="str">
        <f>IF($A10="","",IFERROR(VLOOKUP($A10,Sheet1!$A:$AN,40,0),""))</f>
        <v/>
      </c>
    </row>
    <row r="11" customHeight="1" spans="1:40">
      <c r="A11" s="5" t="str">
        <f>IF(Sheet1!$A11="","",Sheet1!$A11)</f>
        <v/>
      </c>
      <c r="B11" s="5" t="str">
        <f t="shared" si="0"/>
        <v/>
      </c>
      <c r="C11" s="5" t="str">
        <f>IF($A11="","",IFERROR(VLOOKUP($A11,Sheet1!$A:$AN,3,0),""))</f>
        <v/>
      </c>
      <c r="D11" s="5" t="str">
        <f t="shared" si="4"/>
        <v/>
      </c>
      <c r="I11" s="5" t="str">
        <f t="shared" si="1"/>
        <v/>
      </c>
      <c r="L11" s="12"/>
      <c r="M11" s="5" t="str">
        <f t="shared" si="2"/>
        <v/>
      </c>
      <c r="R11" s="5" t="str">
        <f>IF($A11="","",IFERROR(VLOOKUP($A11,Sheet1!A:AN,18,0),""))</f>
        <v/>
      </c>
      <c r="S11" s="5" t="str">
        <f>IF($A11="","",IFERROR(VLOOKUP($A11,Sheet1!$A:$AN,19,0),""))</f>
        <v/>
      </c>
      <c r="T11" s="5" t="str">
        <f t="shared" si="3"/>
        <v/>
      </c>
      <c r="U11" s="5" t="str">
        <f>IF($A11="","",IFERROR(VLOOKUP($A11,Sheet1!$A:$AN,21,0),""))</f>
        <v/>
      </c>
      <c r="V11" s="5" t="str">
        <f>IF($A11="","",IFERROR(SUBSTITUTE(VLOOKUP($A11,Sheet1!$A:$AN,22,0),"族",""),""))</f>
        <v/>
      </c>
      <c r="W11" s="5" t="str">
        <f>IF($A11="","",IFERROR(VLOOKUP($A11,Sheet1!$A:$AN,23,0),""))</f>
        <v/>
      </c>
      <c r="X11" s="5" t="str">
        <f>IF($A11="","",IFERROR(VLOOKUP($A11,Sheet1!$A:$AN,24,0),""))</f>
        <v/>
      </c>
      <c r="Y11" s="5" t="str">
        <f>IF($A11="","",IFERROR(VLOOKUP($A11,Sheet1!$A:$AN,25,0),""))</f>
        <v/>
      </c>
      <c r="AK11" s="5" t="str">
        <f>IF($A11="","",IFERROR(VLOOKUP($A11,Sheet1!$A:$AN,37,0),""))</f>
        <v/>
      </c>
      <c r="AL11" s="13" t="str">
        <f>IF($A11="","",IFERROR(VLOOKUP($A11,Sheet1!$A:$AN,38,0),""))</f>
        <v/>
      </c>
      <c r="AM11" s="13" t="str">
        <f>IF($A11="","",IFERROR(VLOOKUP($A11,Sheet1!$A:$AN,39,0),""))</f>
        <v/>
      </c>
      <c r="AN11" s="13" t="str">
        <f>IF($A11="","",IFERROR(VLOOKUP($A11,Sheet1!$A:$AN,40,0),""))</f>
        <v/>
      </c>
    </row>
    <row r="12" customHeight="1" spans="1:40">
      <c r="A12" s="5" t="str">
        <f>IF(Sheet1!$A12="","",Sheet1!$A12)</f>
        <v/>
      </c>
      <c r="B12" s="5" t="str">
        <f t="shared" si="0"/>
        <v/>
      </c>
      <c r="C12" s="5" t="str">
        <f>IF($A12="","",IFERROR(VLOOKUP($A12,Sheet1!$A:$AN,3,0),""))</f>
        <v/>
      </c>
      <c r="D12" s="5" t="str">
        <f t="shared" si="4"/>
        <v/>
      </c>
      <c r="I12" s="5" t="str">
        <f t="shared" si="1"/>
        <v/>
      </c>
      <c r="L12" s="12"/>
      <c r="M12" s="5" t="str">
        <f t="shared" si="2"/>
        <v/>
      </c>
      <c r="R12" s="5" t="str">
        <f>IF($A12="","",IFERROR(VLOOKUP($A12,Sheet1!A:AN,18,0),""))</f>
        <v/>
      </c>
      <c r="S12" s="5" t="str">
        <f>IF($A12="","",IFERROR(VLOOKUP($A12,Sheet1!$A:$AN,19,0),""))</f>
        <v/>
      </c>
      <c r="T12" s="5" t="str">
        <f t="shared" si="3"/>
        <v/>
      </c>
      <c r="U12" s="5" t="str">
        <f>IF($A12="","",IFERROR(VLOOKUP($A12,Sheet1!$A:$AN,21,0),""))</f>
        <v/>
      </c>
      <c r="V12" s="5" t="str">
        <f>IF($A12="","",IFERROR(SUBSTITUTE(VLOOKUP($A12,Sheet1!$A:$AN,22,0),"族",""),""))</f>
        <v/>
      </c>
      <c r="W12" s="5" t="str">
        <f>IF($A12="","",IFERROR(VLOOKUP($A12,Sheet1!$A:$AN,23,0),""))</f>
        <v/>
      </c>
      <c r="X12" s="5" t="str">
        <f>IF($A12="","",IFERROR(VLOOKUP($A12,Sheet1!$A:$AN,24,0),""))</f>
        <v/>
      </c>
      <c r="Y12" s="5" t="str">
        <f>IF($A12="","",IFERROR(VLOOKUP($A12,Sheet1!$A:$AN,25,0),""))</f>
        <v/>
      </c>
      <c r="AK12" s="5" t="str">
        <f>IF($A12="","",IFERROR(VLOOKUP($A12,Sheet1!$A:$AN,37,0),""))</f>
        <v/>
      </c>
      <c r="AL12" s="13" t="str">
        <f>IF($A12="","",IFERROR(VLOOKUP($A12,Sheet1!$A:$AN,38,0),""))</f>
        <v/>
      </c>
      <c r="AM12" s="13" t="str">
        <f>IF($A12="","",IFERROR(VLOOKUP($A12,Sheet1!$A:$AN,39,0),""))</f>
        <v/>
      </c>
      <c r="AN12" s="13" t="str">
        <f>IF($A12="","",IFERROR(VLOOKUP($A12,Sheet1!$A:$AN,40,0),""))</f>
        <v/>
      </c>
    </row>
    <row r="13" customHeight="1" spans="1:40">
      <c r="A13" s="5" t="str">
        <f>IF(Sheet1!$A13="","",Sheet1!$A13)</f>
        <v/>
      </c>
      <c r="B13" s="5" t="str">
        <f t="shared" si="0"/>
        <v/>
      </c>
      <c r="C13" s="5" t="str">
        <f>IF($A13="","",IFERROR(VLOOKUP($A13,Sheet1!$A:$AN,3,0),""))</f>
        <v/>
      </c>
      <c r="D13" s="5" t="str">
        <f t="shared" si="4"/>
        <v/>
      </c>
      <c r="I13" s="5" t="str">
        <f t="shared" si="1"/>
        <v/>
      </c>
      <c r="L13" s="12"/>
      <c r="M13" s="5" t="str">
        <f t="shared" si="2"/>
        <v/>
      </c>
      <c r="R13" s="5" t="str">
        <f>IF($A13="","",IFERROR(VLOOKUP($A13,Sheet1!A:AN,18,0),""))</f>
        <v/>
      </c>
      <c r="S13" s="5" t="str">
        <f>IF($A13="","",IFERROR(VLOOKUP($A13,Sheet1!$A:$AN,19,0),""))</f>
        <v/>
      </c>
      <c r="T13" s="5" t="str">
        <f t="shared" si="3"/>
        <v/>
      </c>
      <c r="U13" s="5" t="str">
        <f>IF($A13="","",IFERROR(VLOOKUP($A13,Sheet1!$A:$AN,21,0),""))</f>
        <v/>
      </c>
      <c r="V13" s="5" t="str">
        <f>IF($A13="","",IFERROR(SUBSTITUTE(VLOOKUP($A13,Sheet1!$A:$AN,22,0),"族",""),""))</f>
        <v/>
      </c>
      <c r="W13" s="5" t="str">
        <f>IF($A13="","",IFERROR(VLOOKUP($A13,Sheet1!$A:$AN,23,0),""))</f>
        <v/>
      </c>
      <c r="X13" s="5" t="str">
        <f>IF($A13="","",IFERROR(VLOOKUP($A13,Sheet1!$A:$AN,24,0),""))</f>
        <v/>
      </c>
      <c r="Y13" s="5" t="str">
        <f>IF($A13="","",IFERROR(VLOOKUP($A13,Sheet1!$A:$AN,25,0),""))</f>
        <v/>
      </c>
      <c r="AK13" s="5" t="str">
        <f>IF($A13="","",IFERROR(VLOOKUP($A13,Sheet1!$A:$AN,37,0),""))</f>
        <v/>
      </c>
      <c r="AL13" s="13" t="str">
        <f>IF($A13="","",IFERROR(VLOOKUP($A13,Sheet1!$A:$AN,38,0),""))</f>
        <v/>
      </c>
      <c r="AM13" s="13" t="str">
        <f>IF($A13="","",IFERROR(VLOOKUP($A13,Sheet1!$A:$AN,39,0),""))</f>
        <v/>
      </c>
      <c r="AN13" s="13" t="str">
        <f>IF($A13="","",IFERROR(VLOOKUP($A13,Sheet1!$A:$AN,40,0),""))</f>
        <v/>
      </c>
    </row>
    <row r="14" customHeight="1" spans="1:40">
      <c r="A14" s="5" t="str">
        <f>IF(Sheet1!$A14="","",Sheet1!$A14)</f>
        <v/>
      </c>
      <c r="B14" s="5" t="str">
        <f t="shared" si="0"/>
        <v/>
      </c>
      <c r="C14" s="5" t="str">
        <f>IF($A14="","",IFERROR(VLOOKUP($A14,Sheet1!$A:$AN,3,0),""))</f>
        <v/>
      </c>
      <c r="D14" s="5" t="str">
        <f t="shared" si="4"/>
        <v/>
      </c>
      <c r="I14" s="5" t="str">
        <f t="shared" si="1"/>
        <v/>
      </c>
      <c r="L14" s="12"/>
      <c r="M14" s="5" t="str">
        <f t="shared" si="2"/>
        <v/>
      </c>
      <c r="R14" s="5" t="str">
        <f>IF($A14="","",IFERROR(VLOOKUP($A14,Sheet1!A:AN,18,0),""))</f>
        <v/>
      </c>
      <c r="S14" s="5" t="str">
        <f>IF($A14="","",IFERROR(VLOOKUP($A14,Sheet1!$A:$AN,19,0),""))</f>
        <v/>
      </c>
      <c r="T14" s="5" t="str">
        <f t="shared" si="3"/>
        <v/>
      </c>
      <c r="U14" s="5" t="str">
        <f>IF($A14="","",IFERROR(VLOOKUP($A14,Sheet1!$A:$AN,21,0),""))</f>
        <v/>
      </c>
      <c r="V14" s="5" t="str">
        <f>IF($A14="","",IFERROR(SUBSTITUTE(VLOOKUP($A14,Sheet1!$A:$AN,22,0),"族",""),""))</f>
        <v/>
      </c>
      <c r="W14" s="5" t="str">
        <f>IF($A14="","",IFERROR(VLOOKUP($A14,Sheet1!$A:$AN,23,0),""))</f>
        <v/>
      </c>
      <c r="X14" s="5" t="str">
        <f>IF($A14="","",IFERROR(VLOOKUP($A14,Sheet1!$A:$AN,24,0),""))</f>
        <v/>
      </c>
      <c r="Y14" s="5" t="str">
        <f>IF($A14="","",IFERROR(VLOOKUP($A14,Sheet1!$A:$AN,25,0),""))</f>
        <v/>
      </c>
      <c r="AK14" s="5" t="str">
        <f>IF($A14="","",IFERROR(VLOOKUP($A14,Sheet1!$A:$AN,37,0),""))</f>
        <v/>
      </c>
      <c r="AL14" s="13" t="str">
        <f>IF($A14="","",IFERROR(VLOOKUP($A14,Sheet1!$A:$AN,38,0),""))</f>
        <v/>
      </c>
      <c r="AM14" s="13" t="str">
        <f>IF($A14="","",IFERROR(VLOOKUP($A14,Sheet1!$A:$AN,39,0),""))</f>
        <v/>
      </c>
      <c r="AN14" s="13" t="str">
        <f>IF($A14="","",IFERROR(VLOOKUP($A14,Sheet1!$A:$AN,40,0),""))</f>
        <v/>
      </c>
    </row>
    <row r="15" customHeight="1" spans="1:40">
      <c r="A15" s="5" t="str">
        <f>IF(Sheet1!$A15="","",Sheet1!$A15)</f>
        <v/>
      </c>
      <c r="B15" s="5" t="str">
        <f t="shared" si="0"/>
        <v/>
      </c>
      <c r="C15" s="5" t="str">
        <f>IF($A15="","",IFERROR(VLOOKUP($A15,Sheet1!$A:$AN,3,0),""))</f>
        <v/>
      </c>
      <c r="D15" s="5" t="str">
        <f t="shared" si="4"/>
        <v/>
      </c>
      <c r="I15" s="5" t="str">
        <f t="shared" si="1"/>
        <v/>
      </c>
      <c r="L15" s="12"/>
      <c r="M15" s="5" t="str">
        <f t="shared" si="2"/>
        <v/>
      </c>
      <c r="R15" s="5" t="str">
        <f>IF($A15="","",IFERROR(VLOOKUP($A15,Sheet1!A:AN,18,0),""))</f>
        <v/>
      </c>
      <c r="S15" s="5" t="str">
        <f>IF($A15="","",IFERROR(VLOOKUP($A15,Sheet1!$A:$AN,19,0),""))</f>
        <v/>
      </c>
      <c r="T15" s="5" t="str">
        <f t="shared" si="3"/>
        <v/>
      </c>
      <c r="U15" s="5" t="str">
        <f>IF($A15="","",IFERROR(VLOOKUP($A15,Sheet1!$A:$AN,21,0),""))</f>
        <v/>
      </c>
      <c r="V15" s="5" t="str">
        <f>IF($A15="","",IFERROR(SUBSTITUTE(VLOOKUP($A15,Sheet1!$A:$AN,22,0),"族",""),""))</f>
        <v/>
      </c>
      <c r="W15" s="5" t="str">
        <f>IF($A15="","",IFERROR(VLOOKUP($A15,Sheet1!$A:$AN,23,0),""))</f>
        <v/>
      </c>
      <c r="X15" s="5" t="str">
        <f>IF($A15="","",IFERROR(VLOOKUP($A15,Sheet1!$A:$AN,24,0),""))</f>
        <v/>
      </c>
      <c r="Y15" s="5" t="str">
        <f>IF($A15="","",IFERROR(VLOOKUP($A15,Sheet1!$A:$AN,25,0),""))</f>
        <v/>
      </c>
      <c r="AK15" s="5" t="str">
        <f>IF($A15="","",IFERROR(VLOOKUP($A15,Sheet1!$A:$AN,37,0),""))</f>
        <v/>
      </c>
      <c r="AL15" s="13" t="str">
        <f>IF($A15="","",IFERROR(VLOOKUP($A15,Sheet1!$A:$AN,38,0),""))</f>
        <v/>
      </c>
      <c r="AM15" s="13" t="str">
        <f>IF($A15="","",IFERROR(VLOOKUP($A15,Sheet1!$A:$AN,39,0),""))</f>
        <v/>
      </c>
      <c r="AN15" s="13" t="str">
        <f>IF($A15="","",IFERROR(VLOOKUP($A15,Sheet1!$A:$AN,40,0),""))</f>
        <v/>
      </c>
    </row>
    <row r="16" customHeight="1" spans="1:40">
      <c r="A16" s="5" t="str">
        <f>IF(Sheet1!$A16="","",Sheet1!$A16)</f>
        <v/>
      </c>
      <c r="B16" s="5" t="str">
        <f t="shared" si="0"/>
        <v/>
      </c>
      <c r="C16" s="5" t="str">
        <f>IF($A16="","",IFERROR(VLOOKUP($A16,Sheet1!$A:$AN,3,0),""))</f>
        <v/>
      </c>
      <c r="D16" s="5" t="str">
        <f t="shared" si="4"/>
        <v/>
      </c>
      <c r="I16" s="5" t="str">
        <f t="shared" si="1"/>
        <v/>
      </c>
      <c r="L16" s="12"/>
      <c r="M16" s="5" t="str">
        <f t="shared" si="2"/>
        <v/>
      </c>
      <c r="R16" s="5" t="str">
        <f>IF($A16="","",IFERROR(VLOOKUP($A16,Sheet1!A:AN,18,0),""))</f>
        <v/>
      </c>
      <c r="S16" s="5" t="str">
        <f>IF($A16="","",IFERROR(VLOOKUP($A16,Sheet1!$A:$AN,19,0),""))</f>
        <v/>
      </c>
      <c r="T16" s="5" t="str">
        <f t="shared" si="3"/>
        <v/>
      </c>
      <c r="U16" s="5" t="str">
        <f>IF($A16="","",IFERROR(VLOOKUP($A16,Sheet1!$A:$AN,21,0),""))</f>
        <v/>
      </c>
      <c r="V16" s="5" t="str">
        <f>IF($A16="","",IFERROR(SUBSTITUTE(VLOOKUP($A16,Sheet1!$A:$AN,22,0),"族",""),""))</f>
        <v/>
      </c>
      <c r="W16" s="5" t="str">
        <f>IF($A16="","",IFERROR(VLOOKUP($A16,Sheet1!$A:$AN,23,0),""))</f>
        <v/>
      </c>
      <c r="X16" s="5" t="str">
        <f>IF($A16="","",IFERROR(VLOOKUP($A16,Sheet1!$A:$AN,24,0),""))</f>
        <v/>
      </c>
      <c r="Y16" s="5" t="str">
        <f>IF($A16="","",IFERROR(VLOOKUP($A16,Sheet1!$A:$AN,25,0),""))</f>
        <v/>
      </c>
      <c r="AK16" s="5" t="str">
        <f>IF($A16="","",IFERROR(VLOOKUP($A16,Sheet1!$A:$AN,37,0),""))</f>
        <v/>
      </c>
      <c r="AL16" s="13" t="str">
        <f>IF($A16="","",IFERROR(VLOOKUP($A16,Sheet1!$A:$AN,38,0),""))</f>
        <v/>
      </c>
      <c r="AM16" s="13" t="str">
        <f>IF($A16="","",IFERROR(VLOOKUP($A16,Sheet1!$A:$AN,39,0),""))</f>
        <v/>
      </c>
      <c r="AN16" s="13" t="str">
        <f>IF($A16="","",IFERROR(VLOOKUP($A16,Sheet1!$A:$AN,40,0),""))</f>
        <v/>
      </c>
    </row>
    <row r="17" customHeight="1" spans="1:40">
      <c r="A17" s="5" t="str">
        <f>IF(Sheet1!$A17="","",Sheet1!$A17)</f>
        <v/>
      </c>
      <c r="B17" s="5" t="str">
        <f t="shared" si="0"/>
        <v/>
      </c>
      <c r="C17" s="5" t="str">
        <f>IF($A17="","",IFERROR(VLOOKUP($A17,Sheet1!$A:$AN,3,0),""))</f>
        <v/>
      </c>
      <c r="D17" s="5" t="str">
        <f t="shared" si="4"/>
        <v/>
      </c>
      <c r="I17" s="5" t="str">
        <f t="shared" si="1"/>
        <v/>
      </c>
      <c r="L17" s="12"/>
      <c r="M17" s="5" t="str">
        <f t="shared" si="2"/>
        <v/>
      </c>
      <c r="R17" s="5" t="str">
        <f>IF($A17="","",IFERROR(VLOOKUP($A17,Sheet1!A:AN,18,0),""))</f>
        <v/>
      </c>
      <c r="S17" s="5" t="str">
        <f>IF($A17="","",IFERROR(VLOOKUP($A17,Sheet1!$A:$AN,19,0),""))</f>
        <v/>
      </c>
      <c r="T17" s="5" t="str">
        <f t="shared" si="3"/>
        <v/>
      </c>
      <c r="U17" s="5" t="str">
        <f>IF($A17="","",IFERROR(VLOOKUP($A17,Sheet1!$A:$AN,21,0),""))</f>
        <v/>
      </c>
      <c r="V17" s="5" t="str">
        <f>IF($A17="","",IFERROR(SUBSTITUTE(VLOOKUP($A17,Sheet1!$A:$AN,22,0),"族",""),""))</f>
        <v/>
      </c>
      <c r="W17" s="5" t="str">
        <f>IF($A17="","",IFERROR(VLOOKUP($A17,Sheet1!$A:$AN,23,0),""))</f>
        <v/>
      </c>
      <c r="X17" s="5" t="str">
        <f>IF($A17="","",IFERROR(VLOOKUP($A17,Sheet1!$A:$AN,24,0),""))</f>
        <v/>
      </c>
      <c r="Y17" s="5" t="str">
        <f>IF($A17="","",IFERROR(VLOOKUP($A17,Sheet1!$A:$AN,25,0),""))</f>
        <v/>
      </c>
      <c r="AK17" s="5" t="str">
        <f>IF($A17="","",IFERROR(VLOOKUP($A17,Sheet1!$A:$AN,37,0),""))</f>
        <v/>
      </c>
      <c r="AL17" s="13" t="str">
        <f>IF($A17="","",IFERROR(VLOOKUP($A17,Sheet1!$A:$AN,38,0),""))</f>
        <v/>
      </c>
      <c r="AM17" s="13" t="str">
        <f>IF($A17="","",IFERROR(VLOOKUP($A17,Sheet1!$A:$AN,39,0),""))</f>
        <v/>
      </c>
      <c r="AN17" s="13" t="str">
        <f>IF($A17="","",IFERROR(VLOOKUP($A17,Sheet1!$A:$AN,40,0),""))</f>
        <v/>
      </c>
    </row>
    <row r="18" customHeight="1" spans="1:40">
      <c r="A18" s="5" t="str">
        <f>IF(Sheet1!$A18="","",Sheet1!$A18)</f>
        <v/>
      </c>
      <c r="B18" s="5" t="str">
        <f t="shared" si="0"/>
        <v/>
      </c>
      <c r="C18" s="5" t="str">
        <f>IF($A18="","",IFERROR(VLOOKUP($A18,Sheet1!$A:$AN,3,0),""))</f>
        <v/>
      </c>
      <c r="D18" s="5" t="str">
        <f t="shared" si="4"/>
        <v/>
      </c>
      <c r="I18" s="5" t="str">
        <f t="shared" si="1"/>
        <v/>
      </c>
      <c r="L18" s="12"/>
      <c r="M18" s="5" t="str">
        <f t="shared" si="2"/>
        <v/>
      </c>
      <c r="R18" s="5" t="str">
        <f>IF($A18="","",IFERROR(VLOOKUP($A18,Sheet1!A:AN,18,0),""))</f>
        <v/>
      </c>
      <c r="S18" s="5" t="str">
        <f>IF($A18="","",IFERROR(VLOOKUP($A18,Sheet1!$A:$AN,19,0),""))</f>
        <v/>
      </c>
      <c r="T18" s="5" t="str">
        <f t="shared" si="3"/>
        <v/>
      </c>
      <c r="U18" s="5" t="str">
        <f>IF($A18="","",IFERROR(VLOOKUP($A18,Sheet1!$A:$AN,21,0),""))</f>
        <v/>
      </c>
      <c r="V18" s="5" t="str">
        <f>IF($A18="","",IFERROR(SUBSTITUTE(VLOOKUP($A18,Sheet1!$A:$AN,22,0),"族",""),""))</f>
        <v/>
      </c>
      <c r="W18" s="5" t="str">
        <f>IF($A18="","",IFERROR(VLOOKUP($A18,Sheet1!$A:$AN,23,0),""))</f>
        <v/>
      </c>
      <c r="X18" s="5" t="str">
        <f>IF($A18="","",IFERROR(VLOOKUP($A18,Sheet1!$A:$AN,24,0),""))</f>
        <v/>
      </c>
      <c r="Y18" s="5" t="str">
        <f>IF($A18="","",IFERROR(VLOOKUP($A18,Sheet1!$A:$AN,25,0),""))</f>
        <v/>
      </c>
      <c r="AK18" s="5" t="str">
        <f>IF($A18="","",IFERROR(VLOOKUP($A18,Sheet1!$A:$AN,37,0),""))</f>
        <v/>
      </c>
      <c r="AL18" s="13" t="str">
        <f>IF($A18="","",IFERROR(VLOOKUP($A18,Sheet1!$A:$AN,38,0),""))</f>
        <v/>
      </c>
      <c r="AM18" s="13" t="str">
        <f>IF($A18="","",IFERROR(VLOOKUP($A18,Sheet1!$A:$AN,39,0),""))</f>
        <v/>
      </c>
      <c r="AN18" s="13" t="str">
        <f>IF($A18="","",IFERROR(VLOOKUP($A18,Sheet1!$A:$AN,40,0),""))</f>
        <v/>
      </c>
    </row>
    <row r="19" customHeight="1" spans="1:40">
      <c r="A19" s="5" t="str">
        <f>IF(Sheet1!$A19="","",Sheet1!$A19)</f>
        <v/>
      </c>
      <c r="B19" s="5" t="str">
        <f t="shared" si="0"/>
        <v/>
      </c>
      <c r="C19" s="5" t="str">
        <f>IF($A19="","",IFERROR(VLOOKUP($A19,Sheet1!$A:$AN,3,0),""))</f>
        <v/>
      </c>
      <c r="D19" s="5" t="str">
        <f t="shared" si="4"/>
        <v/>
      </c>
      <c r="I19" s="5" t="str">
        <f t="shared" si="1"/>
        <v/>
      </c>
      <c r="L19" s="12"/>
      <c r="M19" s="5" t="str">
        <f t="shared" si="2"/>
        <v/>
      </c>
      <c r="R19" s="5" t="str">
        <f>IF($A19="","",IFERROR(VLOOKUP($A19,Sheet1!A:AN,18,0),""))</f>
        <v/>
      </c>
      <c r="S19" s="5" t="str">
        <f>IF($A19="","",IFERROR(VLOOKUP($A19,Sheet1!$A:$AN,19,0),""))</f>
        <v/>
      </c>
      <c r="T19" s="5" t="str">
        <f t="shared" si="3"/>
        <v/>
      </c>
      <c r="U19" s="5" t="str">
        <f>IF($A19="","",IFERROR(VLOOKUP($A19,Sheet1!$A:$AN,21,0),""))</f>
        <v/>
      </c>
      <c r="V19" s="5" t="str">
        <f>IF($A19="","",IFERROR(SUBSTITUTE(VLOOKUP($A19,Sheet1!$A:$AN,22,0),"族",""),""))</f>
        <v/>
      </c>
      <c r="W19" s="5" t="str">
        <f>IF($A19="","",IFERROR(VLOOKUP($A19,Sheet1!$A:$AN,23,0),""))</f>
        <v/>
      </c>
      <c r="X19" s="5" t="str">
        <f>IF($A19="","",IFERROR(VLOOKUP($A19,Sheet1!$A:$AN,24,0),""))</f>
        <v/>
      </c>
      <c r="Y19" s="5" t="str">
        <f>IF($A19="","",IFERROR(VLOOKUP($A19,Sheet1!$A:$AN,25,0),""))</f>
        <v/>
      </c>
      <c r="AK19" s="5" t="str">
        <f>IF($A19="","",IFERROR(VLOOKUP($A19,Sheet1!$A:$AN,37,0),""))</f>
        <v/>
      </c>
      <c r="AL19" s="13" t="str">
        <f>IF($A19="","",IFERROR(VLOOKUP($A19,Sheet1!$A:$AN,38,0),""))</f>
        <v/>
      </c>
      <c r="AM19" s="13" t="str">
        <f>IF($A19="","",IFERROR(VLOOKUP($A19,Sheet1!$A:$AN,39,0),""))</f>
        <v/>
      </c>
      <c r="AN19" s="13" t="str">
        <f>IF($A19="","",IFERROR(VLOOKUP($A19,Sheet1!$A:$AN,40,0),""))</f>
        <v/>
      </c>
    </row>
    <row r="20" customHeight="1" spans="1:40">
      <c r="A20" s="5" t="str">
        <f>IF(Sheet1!$A20="","",Sheet1!$A20)</f>
        <v/>
      </c>
      <c r="B20" s="5" t="str">
        <f t="shared" si="0"/>
        <v/>
      </c>
      <c r="C20" s="5" t="str">
        <f>IF($A20="","",IFERROR(VLOOKUP($A20,Sheet1!$A:$AN,3,0),""))</f>
        <v/>
      </c>
      <c r="D20" s="5" t="str">
        <f t="shared" si="4"/>
        <v/>
      </c>
      <c r="I20" s="5" t="str">
        <f t="shared" si="1"/>
        <v/>
      </c>
      <c r="L20" s="12"/>
      <c r="M20" s="5" t="str">
        <f t="shared" si="2"/>
        <v/>
      </c>
      <c r="R20" s="5" t="str">
        <f>IF($A20="","",IFERROR(VLOOKUP($A20,Sheet1!A:AN,18,0),""))</f>
        <v/>
      </c>
      <c r="S20" s="5" t="str">
        <f>IF($A20="","",IFERROR(VLOOKUP($A20,Sheet1!$A:$AN,19,0),""))</f>
        <v/>
      </c>
      <c r="T20" s="5" t="str">
        <f t="shared" si="3"/>
        <v/>
      </c>
      <c r="U20" s="5" t="str">
        <f>IF($A20="","",IFERROR(VLOOKUP($A20,Sheet1!$A:$AN,21,0),""))</f>
        <v/>
      </c>
      <c r="V20" s="5" t="str">
        <f>IF($A20="","",IFERROR(SUBSTITUTE(VLOOKUP($A20,Sheet1!$A:$AN,22,0),"族",""),""))</f>
        <v/>
      </c>
      <c r="W20" s="5" t="str">
        <f>IF($A20="","",IFERROR(VLOOKUP($A20,Sheet1!$A:$AN,23,0),""))</f>
        <v/>
      </c>
      <c r="X20" s="5" t="str">
        <f>IF($A20="","",IFERROR(VLOOKUP($A20,Sheet1!$A:$AN,24,0),""))</f>
        <v/>
      </c>
      <c r="Y20" s="5" t="str">
        <f>IF($A20="","",IFERROR(VLOOKUP($A20,Sheet1!$A:$AN,25,0),""))</f>
        <v/>
      </c>
      <c r="AK20" s="5" t="str">
        <f>IF($A20="","",IFERROR(VLOOKUP($A20,Sheet1!$A:$AN,37,0),""))</f>
        <v/>
      </c>
      <c r="AL20" s="13" t="str">
        <f>IF($A20="","",IFERROR(VLOOKUP($A20,Sheet1!$A:$AN,38,0),""))</f>
        <v/>
      </c>
      <c r="AM20" s="13" t="str">
        <f>IF($A20="","",IFERROR(VLOOKUP($A20,Sheet1!$A:$AN,39,0),""))</f>
        <v/>
      </c>
      <c r="AN20" s="13" t="str">
        <f>IF($A20="","",IFERROR(VLOOKUP($A20,Sheet1!$A:$AN,40,0),""))</f>
        <v/>
      </c>
    </row>
    <row r="21" customHeight="1" spans="1:40">
      <c r="A21" s="5" t="str">
        <f>IF(Sheet1!$A21="","",Sheet1!$A21)</f>
        <v/>
      </c>
      <c r="B21" s="5" t="str">
        <f t="shared" si="0"/>
        <v/>
      </c>
      <c r="C21" s="5" t="str">
        <f>IF($A21="","",IFERROR(VLOOKUP($A21,Sheet1!$A:$AN,3,0),""))</f>
        <v/>
      </c>
      <c r="D21" s="5" t="str">
        <f t="shared" si="4"/>
        <v/>
      </c>
      <c r="I21" s="5" t="str">
        <f t="shared" si="1"/>
        <v/>
      </c>
      <c r="L21" s="12"/>
      <c r="M21" s="5" t="str">
        <f t="shared" si="2"/>
        <v/>
      </c>
      <c r="R21" s="5" t="str">
        <f>IF($A21="","",IFERROR(VLOOKUP($A21,Sheet1!A:AN,18,0),""))</f>
        <v/>
      </c>
      <c r="S21" s="5" t="str">
        <f>IF($A21="","",IFERROR(VLOOKUP($A21,Sheet1!$A:$AN,19,0),""))</f>
        <v/>
      </c>
      <c r="T21" s="5" t="str">
        <f t="shared" si="3"/>
        <v/>
      </c>
      <c r="U21" s="5" t="str">
        <f>IF($A21="","",IFERROR(VLOOKUP($A21,Sheet1!$A:$AN,21,0),""))</f>
        <v/>
      </c>
      <c r="V21" s="5" t="str">
        <f>IF($A21="","",IFERROR(SUBSTITUTE(VLOOKUP($A21,Sheet1!$A:$AN,22,0),"族",""),""))</f>
        <v/>
      </c>
      <c r="W21" s="5" t="str">
        <f>IF($A21="","",IFERROR(VLOOKUP($A21,Sheet1!$A:$AN,23,0),""))</f>
        <v/>
      </c>
      <c r="X21" s="5" t="str">
        <f>IF($A21="","",IFERROR(VLOOKUP($A21,Sheet1!$A:$AN,24,0),""))</f>
        <v/>
      </c>
      <c r="Y21" s="5" t="str">
        <f>IF($A21="","",IFERROR(VLOOKUP($A21,Sheet1!$A:$AN,25,0),""))</f>
        <v/>
      </c>
      <c r="AK21" s="5" t="str">
        <f>IF($A21="","",IFERROR(VLOOKUP($A21,Sheet1!$A:$AN,37,0),""))</f>
        <v/>
      </c>
      <c r="AL21" s="13" t="str">
        <f>IF($A21="","",IFERROR(VLOOKUP($A21,Sheet1!$A:$AN,38,0),""))</f>
        <v/>
      </c>
      <c r="AM21" s="13" t="str">
        <f>IF($A21="","",IFERROR(VLOOKUP($A21,Sheet1!$A:$AN,39,0),""))</f>
        <v/>
      </c>
      <c r="AN21" s="13" t="str">
        <f>IF($A21="","",IFERROR(VLOOKUP($A21,Sheet1!$A:$AN,40,0),""))</f>
        <v/>
      </c>
    </row>
    <row r="22" customHeight="1" spans="1:40">
      <c r="A22" s="5" t="str">
        <f>IF(Sheet1!$A22="","",Sheet1!$A22)</f>
        <v/>
      </c>
      <c r="B22" s="5" t="str">
        <f t="shared" si="0"/>
        <v/>
      </c>
      <c r="C22" s="5" t="str">
        <f>IF($A22="","",IFERROR(VLOOKUP($A22,Sheet1!$A:$AN,3,0),""))</f>
        <v/>
      </c>
      <c r="D22" s="5" t="str">
        <f t="shared" si="4"/>
        <v/>
      </c>
      <c r="I22" s="5" t="str">
        <f t="shared" si="1"/>
        <v/>
      </c>
      <c r="L22" s="12"/>
      <c r="M22" s="5" t="str">
        <f t="shared" si="2"/>
        <v/>
      </c>
      <c r="R22" s="5" t="str">
        <f>IF($A22="","",IFERROR(VLOOKUP($A22,Sheet1!A:AN,18,0),""))</f>
        <v/>
      </c>
      <c r="S22" s="5" t="str">
        <f>IF($A22="","",IFERROR(VLOOKUP($A22,Sheet1!$A:$AN,19,0),""))</f>
        <v/>
      </c>
      <c r="T22" s="5" t="str">
        <f t="shared" si="3"/>
        <v/>
      </c>
      <c r="U22" s="5" t="str">
        <f>IF($A22="","",IFERROR(VLOOKUP($A22,Sheet1!$A:$AN,21,0),""))</f>
        <v/>
      </c>
      <c r="V22" s="5" t="str">
        <f>IF($A22="","",IFERROR(SUBSTITUTE(VLOOKUP($A22,Sheet1!$A:$AN,22,0),"族",""),""))</f>
        <v/>
      </c>
      <c r="W22" s="5" t="str">
        <f>IF($A22="","",IFERROR(VLOOKUP($A22,Sheet1!$A:$AN,23,0),""))</f>
        <v/>
      </c>
      <c r="X22" s="5" t="str">
        <f>IF($A22="","",IFERROR(VLOOKUP($A22,Sheet1!$A:$AN,24,0),""))</f>
        <v/>
      </c>
      <c r="Y22" s="5" t="str">
        <f>IF($A22="","",IFERROR(VLOOKUP($A22,Sheet1!$A:$AN,25,0),""))</f>
        <v/>
      </c>
      <c r="AK22" s="5" t="str">
        <f>IF($A22="","",IFERROR(VLOOKUP($A22,Sheet1!$A:$AN,37,0),""))</f>
        <v/>
      </c>
      <c r="AL22" s="13" t="str">
        <f>IF($A22="","",IFERROR(VLOOKUP($A22,Sheet1!$A:$AN,38,0),""))</f>
        <v/>
      </c>
      <c r="AM22" s="13" t="str">
        <f>IF($A22="","",IFERROR(VLOOKUP($A22,Sheet1!$A:$AN,39,0),""))</f>
        <v/>
      </c>
      <c r="AN22" s="13" t="str">
        <f>IF($A22="","",IFERROR(VLOOKUP($A22,Sheet1!$A:$AN,40,0),""))</f>
        <v/>
      </c>
    </row>
    <row r="23" customHeight="1" spans="1:40">
      <c r="A23" s="5" t="str">
        <f>IF(Sheet1!$A23="","",Sheet1!$A23)</f>
        <v/>
      </c>
      <c r="B23" s="5" t="str">
        <f t="shared" si="0"/>
        <v/>
      </c>
      <c r="C23" s="5" t="str">
        <f>IF($A23="","",IFERROR(VLOOKUP($A23,Sheet1!$A:$AN,3,0),""))</f>
        <v/>
      </c>
      <c r="D23" s="5" t="str">
        <f t="shared" si="4"/>
        <v/>
      </c>
      <c r="I23" s="5" t="str">
        <f t="shared" si="1"/>
        <v/>
      </c>
      <c r="L23" s="12"/>
      <c r="M23" s="5" t="str">
        <f t="shared" si="2"/>
        <v/>
      </c>
      <c r="R23" s="5" t="str">
        <f>IF($A23="","",IFERROR(VLOOKUP($A23,Sheet1!A:AN,18,0),""))</f>
        <v/>
      </c>
      <c r="S23" s="5" t="str">
        <f>IF($A23="","",IFERROR(VLOOKUP($A23,Sheet1!$A:$AN,19,0),""))</f>
        <v/>
      </c>
      <c r="T23" s="5" t="str">
        <f t="shared" si="3"/>
        <v/>
      </c>
      <c r="U23" s="5" t="str">
        <f>IF($A23="","",IFERROR(VLOOKUP($A23,Sheet1!$A:$AN,21,0),""))</f>
        <v/>
      </c>
      <c r="V23" s="5" t="str">
        <f>IF($A23="","",IFERROR(SUBSTITUTE(VLOOKUP($A23,Sheet1!$A:$AN,22,0),"族",""),""))</f>
        <v/>
      </c>
      <c r="W23" s="5" t="str">
        <f>IF($A23="","",IFERROR(VLOOKUP($A23,Sheet1!$A:$AN,23,0),""))</f>
        <v/>
      </c>
      <c r="X23" s="5" t="str">
        <f>IF($A23="","",IFERROR(VLOOKUP($A23,Sheet1!$A:$AN,24,0),""))</f>
        <v/>
      </c>
      <c r="Y23" s="5" t="str">
        <f>IF($A23="","",IFERROR(VLOOKUP($A23,Sheet1!$A:$AN,25,0),""))</f>
        <v/>
      </c>
      <c r="AK23" s="5" t="str">
        <f>IF($A23="","",IFERROR(VLOOKUP($A23,Sheet1!$A:$AN,37,0),""))</f>
        <v/>
      </c>
      <c r="AL23" s="13" t="str">
        <f>IF($A23="","",IFERROR(VLOOKUP($A23,Sheet1!$A:$AN,38,0),""))</f>
        <v/>
      </c>
      <c r="AM23" s="13" t="str">
        <f>IF($A23="","",IFERROR(VLOOKUP($A23,Sheet1!$A:$AN,39,0),""))</f>
        <v/>
      </c>
      <c r="AN23" s="13" t="str">
        <f>IF($A23="","",IFERROR(VLOOKUP($A23,Sheet1!$A:$AN,40,0),""))</f>
        <v/>
      </c>
    </row>
    <row r="24" customHeight="1" spans="1:40">
      <c r="A24" s="5" t="str">
        <f>IF(Sheet1!$A24="","",Sheet1!$A24)</f>
        <v/>
      </c>
      <c r="B24" s="5" t="str">
        <f t="shared" si="0"/>
        <v/>
      </c>
      <c r="C24" s="5" t="str">
        <f>IF($A24="","",IFERROR(VLOOKUP($A24,Sheet1!$A:$AN,3,0),""))</f>
        <v/>
      </c>
      <c r="D24" s="5" t="str">
        <f t="shared" si="4"/>
        <v/>
      </c>
      <c r="I24" s="5" t="str">
        <f t="shared" si="1"/>
        <v/>
      </c>
      <c r="L24" s="12"/>
      <c r="M24" s="5" t="str">
        <f t="shared" si="2"/>
        <v/>
      </c>
      <c r="R24" s="5" t="str">
        <f>IF($A24="","",IFERROR(VLOOKUP($A24,Sheet1!A:AN,18,0),""))</f>
        <v/>
      </c>
      <c r="S24" s="5" t="str">
        <f>IF($A24="","",IFERROR(VLOOKUP($A24,Sheet1!$A:$AN,19,0),""))</f>
        <v/>
      </c>
      <c r="T24" s="5" t="str">
        <f t="shared" si="3"/>
        <v/>
      </c>
      <c r="U24" s="5" t="str">
        <f>IF($A24="","",IFERROR(VLOOKUP($A24,Sheet1!$A:$AN,21,0),""))</f>
        <v/>
      </c>
      <c r="V24" s="5" t="str">
        <f>IF($A24="","",IFERROR(SUBSTITUTE(VLOOKUP($A24,Sheet1!$A:$AN,22,0),"族",""),""))</f>
        <v/>
      </c>
      <c r="W24" s="5" t="str">
        <f>IF($A24="","",IFERROR(VLOOKUP($A24,Sheet1!$A:$AN,23,0),""))</f>
        <v/>
      </c>
      <c r="X24" s="5" t="str">
        <f>IF($A24="","",IFERROR(VLOOKUP($A24,Sheet1!$A:$AN,24,0),""))</f>
        <v/>
      </c>
      <c r="Y24" s="5" t="str">
        <f>IF($A24="","",IFERROR(VLOOKUP($A24,Sheet1!$A:$AN,25,0),""))</f>
        <v/>
      </c>
      <c r="AK24" s="5" t="str">
        <f>IF($A24="","",IFERROR(VLOOKUP($A24,Sheet1!$A:$AN,37,0),""))</f>
        <v/>
      </c>
      <c r="AL24" s="13" t="str">
        <f>IF($A24="","",IFERROR(VLOOKUP($A24,Sheet1!$A:$AN,38,0),""))</f>
        <v/>
      </c>
      <c r="AM24" s="13" t="str">
        <f>IF($A24="","",IFERROR(VLOOKUP($A24,Sheet1!$A:$AN,39,0),""))</f>
        <v/>
      </c>
      <c r="AN24" s="13" t="str">
        <f>IF($A24="","",IFERROR(VLOOKUP($A24,Sheet1!$A:$AN,40,0),""))</f>
        <v/>
      </c>
    </row>
    <row r="25" customHeight="1" spans="1:40">
      <c r="A25" s="5" t="str">
        <f>IF(Sheet1!$A25="","",Sheet1!$A25)</f>
        <v/>
      </c>
      <c r="B25" s="5" t="str">
        <f t="shared" si="0"/>
        <v/>
      </c>
      <c r="C25" s="5" t="str">
        <f>IF($A25="","",IFERROR(VLOOKUP($A25,Sheet1!$A:$AN,3,0),""))</f>
        <v/>
      </c>
      <c r="D25" s="5" t="str">
        <f t="shared" si="4"/>
        <v/>
      </c>
      <c r="I25" s="5" t="str">
        <f t="shared" si="1"/>
        <v/>
      </c>
      <c r="L25" s="12"/>
      <c r="M25" s="5" t="str">
        <f t="shared" si="2"/>
        <v/>
      </c>
      <c r="R25" s="5" t="str">
        <f>IF($A25="","",IFERROR(VLOOKUP($A25,Sheet1!A:AN,18,0),""))</f>
        <v/>
      </c>
      <c r="S25" s="5" t="str">
        <f>IF($A25="","",IFERROR(VLOOKUP($A25,Sheet1!$A:$AN,19,0),""))</f>
        <v/>
      </c>
      <c r="T25" s="5" t="str">
        <f t="shared" si="3"/>
        <v/>
      </c>
      <c r="U25" s="5" t="str">
        <f>IF($A25="","",IFERROR(VLOOKUP($A25,Sheet1!$A:$AN,21,0),""))</f>
        <v/>
      </c>
      <c r="V25" s="5" t="str">
        <f>IF($A25="","",IFERROR(SUBSTITUTE(VLOOKUP($A25,Sheet1!$A:$AN,22,0),"族",""),""))</f>
        <v/>
      </c>
      <c r="W25" s="5" t="str">
        <f>IF($A25="","",IFERROR(VLOOKUP($A25,Sheet1!$A:$AN,23,0),""))</f>
        <v/>
      </c>
      <c r="X25" s="5" t="str">
        <f>IF($A25="","",IFERROR(VLOOKUP($A25,Sheet1!$A:$AN,24,0),""))</f>
        <v/>
      </c>
      <c r="Y25" s="5" t="str">
        <f>IF($A25="","",IFERROR(VLOOKUP($A25,Sheet1!$A:$AN,25,0),""))</f>
        <v/>
      </c>
      <c r="AK25" s="5" t="str">
        <f>IF($A25="","",IFERROR(VLOOKUP($A25,Sheet1!$A:$AN,37,0),""))</f>
        <v/>
      </c>
      <c r="AL25" s="13" t="str">
        <f>IF($A25="","",IFERROR(VLOOKUP($A25,Sheet1!$A:$AN,38,0),""))</f>
        <v/>
      </c>
      <c r="AM25" s="13" t="str">
        <f>IF($A25="","",IFERROR(VLOOKUP($A25,Sheet1!$A:$AN,39,0),""))</f>
        <v/>
      </c>
      <c r="AN25" s="13" t="str">
        <f>IF($A25="","",IFERROR(VLOOKUP($A25,Sheet1!$A:$AN,40,0),""))</f>
        <v/>
      </c>
    </row>
    <row r="26" customHeight="1" spans="1:40">
      <c r="A26" s="5" t="str">
        <f>IF(Sheet1!$A26="","",Sheet1!$A26)</f>
        <v/>
      </c>
      <c r="B26" s="5" t="str">
        <f t="shared" si="0"/>
        <v/>
      </c>
      <c r="C26" s="5" t="str">
        <f>IF($A26="","",IFERROR(VLOOKUP($A26,Sheet1!$A:$AN,3,0),""))</f>
        <v/>
      </c>
      <c r="D26" s="5" t="str">
        <f t="shared" si="4"/>
        <v/>
      </c>
      <c r="I26" s="5" t="str">
        <f t="shared" si="1"/>
        <v/>
      </c>
      <c r="L26" s="12"/>
      <c r="M26" s="5" t="str">
        <f t="shared" si="2"/>
        <v/>
      </c>
      <c r="R26" s="5" t="str">
        <f>IF($A26="","",IFERROR(VLOOKUP($A26,Sheet1!A:AN,18,0),""))</f>
        <v/>
      </c>
      <c r="S26" s="5" t="str">
        <f>IF($A26="","",IFERROR(VLOOKUP($A26,Sheet1!$A:$AN,19,0),""))</f>
        <v/>
      </c>
      <c r="T26" s="5" t="str">
        <f t="shared" si="3"/>
        <v/>
      </c>
      <c r="U26" s="5" t="str">
        <f>IF($A26="","",IFERROR(VLOOKUP($A26,Sheet1!$A:$AN,21,0),""))</f>
        <v/>
      </c>
      <c r="V26" s="5" t="str">
        <f>IF($A26="","",IFERROR(SUBSTITUTE(VLOOKUP($A26,Sheet1!$A:$AN,22,0),"族",""),""))</f>
        <v/>
      </c>
      <c r="W26" s="5" t="str">
        <f>IF($A26="","",IFERROR(VLOOKUP($A26,Sheet1!$A:$AN,23,0),""))</f>
        <v/>
      </c>
      <c r="X26" s="5" t="str">
        <f>IF($A26="","",IFERROR(VLOOKUP($A26,Sheet1!$A:$AN,24,0),""))</f>
        <v/>
      </c>
      <c r="Y26" s="5" t="str">
        <f>IF($A26="","",IFERROR(VLOOKUP($A26,Sheet1!$A:$AN,25,0),""))</f>
        <v/>
      </c>
      <c r="AK26" s="5" t="str">
        <f>IF($A26="","",IFERROR(VLOOKUP($A26,Sheet1!$A:$AN,37,0),""))</f>
        <v/>
      </c>
      <c r="AL26" s="13" t="str">
        <f>IF($A26="","",IFERROR(VLOOKUP($A26,Sheet1!$A:$AN,38,0),""))</f>
        <v/>
      </c>
      <c r="AM26" s="13" t="str">
        <f>IF($A26="","",IFERROR(VLOOKUP($A26,Sheet1!$A:$AN,39,0),""))</f>
        <v/>
      </c>
      <c r="AN26" s="13" t="str">
        <f>IF($A26="","",IFERROR(VLOOKUP($A26,Sheet1!$A:$AN,40,0),""))</f>
        <v/>
      </c>
    </row>
    <row r="27" customHeight="1" spans="1:40">
      <c r="A27" s="5" t="str">
        <f>IF(Sheet1!$A27="","",Sheet1!$A27)</f>
        <v/>
      </c>
      <c r="B27" s="5" t="str">
        <f t="shared" si="0"/>
        <v/>
      </c>
      <c r="C27" s="5" t="str">
        <f>IF($A27="","",IFERROR(VLOOKUP($A27,Sheet1!$A:$AN,3,0),""))</f>
        <v/>
      </c>
      <c r="D27" s="5" t="str">
        <f t="shared" si="4"/>
        <v/>
      </c>
      <c r="I27" s="5" t="str">
        <f t="shared" si="1"/>
        <v/>
      </c>
      <c r="L27" s="12"/>
      <c r="M27" s="5" t="str">
        <f t="shared" si="2"/>
        <v/>
      </c>
      <c r="R27" s="5" t="str">
        <f>IF($A27="","",IFERROR(VLOOKUP($A27,Sheet1!A:AN,18,0),""))</f>
        <v/>
      </c>
      <c r="S27" s="5" t="str">
        <f>IF($A27="","",IFERROR(VLOOKUP($A27,Sheet1!$A:$AN,19,0),""))</f>
        <v/>
      </c>
      <c r="T27" s="5" t="str">
        <f t="shared" si="3"/>
        <v/>
      </c>
      <c r="U27" s="5" t="str">
        <f>IF($A27="","",IFERROR(VLOOKUP($A27,Sheet1!$A:$AN,21,0),""))</f>
        <v/>
      </c>
      <c r="V27" s="5" t="str">
        <f>IF($A27="","",IFERROR(SUBSTITUTE(VLOOKUP($A27,Sheet1!$A:$AN,22,0),"族",""),""))</f>
        <v/>
      </c>
      <c r="W27" s="5" t="str">
        <f>IF($A27="","",IFERROR(VLOOKUP($A27,Sheet1!$A:$AN,23,0),""))</f>
        <v/>
      </c>
      <c r="X27" s="5" t="str">
        <f>IF($A27="","",IFERROR(VLOOKUP($A27,Sheet1!$A:$AN,24,0),""))</f>
        <v/>
      </c>
      <c r="Y27" s="5" t="str">
        <f>IF($A27="","",IFERROR(VLOOKUP($A27,Sheet1!$A:$AN,25,0),""))</f>
        <v/>
      </c>
      <c r="AK27" s="5" t="str">
        <f>IF($A27="","",IFERROR(VLOOKUP($A27,Sheet1!$A:$AN,37,0),""))</f>
        <v/>
      </c>
      <c r="AL27" s="13" t="str">
        <f>IF($A27="","",IFERROR(VLOOKUP($A27,Sheet1!$A:$AN,38,0),""))</f>
        <v/>
      </c>
      <c r="AM27" s="13" t="str">
        <f>IF($A27="","",IFERROR(VLOOKUP($A27,Sheet1!$A:$AN,39,0),""))</f>
        <v/>
      </c>
      <c r="AN27" s="13" t="str">
        <f>IF($A27="","",IFERROR(VLOOKUP($A27,Sheet1!$A:$AN,40,0),""))</f>
        <v/>
      </c>
    </row>
    <row r="28" customHeight="1" spans="1:40">
      <c r="A28" s="5" t="str">
        <f>IF(Sheet1!$A28="","",Sheet1!$A28)</f>
        <v/>
      </c>
      <c r="B28" s="5" t="str">
        <f t="shared" si="0"/>
        <v/>
      </c>
      <c r="C28" s="5" t="str">
        <f>IF($A28="","",IFERROR(VLOOKUP($A28,Sheet1!$A:$AN,3,0),""))</f>
        <v/>
      </c>
      <c r="D28" s="5" t="str">
        <f t="shared" si="4"/>
        <v/>
      </c>
      <c r="I28" s="5" t="str">
        <f t="shared" si="1"/>
        <v/>
      </c>
      <c r="L28" s="12"/>
      <c r="M28" s="5" t="str">
        <f t="shared" si="2"/>
        <v/>
      </c>
      <c r="R28" s="5" t="str">
        <f>IF($A28="","",IFERROR(VLOOKUP($A28,Sheet1!A:AN,18,0),""))</f>
        <v/>
      </c>
      <c r="S28" s="5" t="str">
        <f>IF($A28="","",IFERROR(VLOOKUP($A28,Sheet1!$A:$AN,19,0),""))</f>
        <v/>
      </c>
      <c r="T28" s="5" t="str">
        <f t="shared" si="3"/>
        <v/>
      </c>
      <c r="U28" s="5" t="str">
        <f>IF($A28="","",IFERROR(VLOOKUP($A28,Sheet1!$A:$AN,21,0),""))</f>
        <v/>
      </c>
      <c r="V28" s="5" t="str">
        <f>IF($A28="","",IFERROR(SUBSTITUTE(VLOOKUP($A28,Sheet1!$A:$AN,22,0),"族",""),""))</f>
        <v/>
      </c>
      <c r="W28" s="5" t="str">
        <f>IF($A28="","",IFERROR(VLOOKUP($A28,Sheet1!$A:$AN,23,0),""))</f>
        <v/>
      </c>
      <c r="X28" s="5" t="str">
        <f>IF($A28="","",IFERROR(VLOOKUP($A28,Sheet1!$A:$AN,24,0),""))</f>
        <v/>
      </c>
      <c r="Y28" s="5" t="str">
        <f>IF($A28="","",IFERROR(VLOOKUP($A28,Sheet1!$A:$AN,25,0),""))</f>
        <v/>
      </c>
      <c r="AK28" s="5" t="str">
        <f>IF($A28="","",IFERROR(VLOOKUP($A28,Sheet1!$A:$AN,37,0),""))</f>
        <v/>
      </c>
      <c r="AL28" s="13" t="str">
        <f>IF($A28="","",IFERROR(VLOOKUP($A28,Sheet1!$A:$AN,38,0),""))</f>
        <v/>
      </c>
      <c r="AM28" s="13" t="str">
        <f>IF($A28="","",IFERROR(VLOOKUP($A28,Sheet1!$A:$AN,39,0),""))</f>
        <v/>
      </c>
      <c r="AN28" s="13" t="str">
        <f>IF($A28="","",IFERROR(VLOOKUP($A28,Sheet1!$A:$AN,40,0),""))</f>
        <v/>
      </c>
    </row>
    <row r="29" customHeight="1" spans="1:40">
      <c r="A29" s="5" t="str">
        <f>IF(Sheet1!$A29="","",Sheet1!$A29)</f>
        <v/>
      </c>
      <c r="B29" s="5" t="str">
        <f t="shared" si="0"/>
        <v/>
      </c>
      <c r="C29" s="5" t="str">
        <f>IF($A29="","",IFERROR(VLOOKUP($A29,Sheet1!$A:$AN,3,0),""))</f>
        <v/>
      </c>
      <c r="D29" s="5" t="str">
        <f t="shared" si="4"/>
        <v/>
      </c>
      <c r="I29" s="5" t="str">
        <f t="shared" si="1"/>
        <v/>
      </c>
      <c r="L29" s="12"/>
      <c r="M29" s="5" t="str">
        <f t="shared" si="2"/>
        <v/>
      </c>
      <c r="R29" s="5" t="str">
        <f>IF($A29="","",IFERROR(VLOOKUP($A29,Sheet1!A:AN,18,0),""))</f>
        <v/>
      </c>
      <c r="S29" s="5" t="str">
        <f>IF($A29="","",IFERROR(VLOOKUP($A29,Sheet1!$A:$AN,19,0),""))</f>
        <v/>
      </c>
      <c r="T29" s="5" t="str">
        <f t="shared" si="3"/>
        <v/>
      </c>
      <c r="U29" s="5" t="str">
        <f>IF($A29="","",IFERROR(VLOOKUP($A29,Sheet1!$A:$AN,21,0),""))</f>
        <v/>
      </c>
      <c r="V29" s="5" t="str">
        <f>IF($A29="","",IFERROR(SUBSTITUTE(VLOOKUP($A29,Sheet1!$A:$AN,22,0),"族",""),""))</f>
        <v/>
      </c>
      <c r="W29" s="5" t="str">
        <f>IF($A29="","",IFERROR(VLOOKUP($A29,Sheet1!$A:$AN,23,0),""))</f>
        <v/>
      </c>
      <c r="X29" s="5" t="str">
        <f>IF($A29="","",IFERROR(VLOOKUP($A29,Sheet1!$A:$AN,24,0),""))</f>
        <v/>
      </c>
      <c r="Y29" s="5" t="str">
        <f>IF($A29="","",IFERROR(VLOOKUP($A29,Sheet1!$A:$AN,25,0),""))</f>
        <v/>
      </c>
      <c r="AK29" s="5" t="str">
        <f>IF($A29="","",IFERROR(VLOOKUP($A29,Sheet1!$A:$AN,37,0),""))</f>
        <v/>
      </c>
      <c r="AL29" s="13" t="str">
        <f>IF($A29="","",IFERROR(VLOOKUP($A29,Sheet1!$A:$AN,38,0),""))</f>
        <v/>
      </c>
      <c r="AM29" s="13" t="str">
        <f>IF($A29="","",IFERROR(VLOOKUP($A29,Sheet1!$A:$AN,39,0),""))</f>
        <v/>
      </c>
      <c r="AN29" s="13" t="str">
        <f>IF($A29="","",IFERROR(VLOOKUP($A29,Sheet1!$A:$AN,40,0),""))</f>
        <v/>
      </c>
    </row>
    <row r="30" customHeight="1" spans="1:40">
      <c r="A30" s="5" t="str">
        <f>IF(Sheet1!$A30="","",Sheet1!$A30)</f>
        <v/>
      </c>
      <c r="B30" s="5" t="str">
        <f t="shared" si="0"/>
        <v/>
      </c>
      <c r="C30" s="5" t="str">
        <f>IF($A30="","",IFERROR(VLOOKUP($A30,Sheet1!$A:$AN,3,0),""))</f>
        <v/>
      </c>
      <c r="D30" s="5" t="str">
        <f t="shared" si="4"/>
        <v/>
      </c>
      <c r="I30" s="5" t="str">
        <f t="shared" si="1"/>
        <v/>
      </c>
      <c r="L30" s="12"/>
      <c r="M30" s="5" t="str">
        <f t="shared" si="2"/>
        <v/>
      </c>
      <c r="R30" s="5" t="str">
        <f>IF($A30="","",IFERROR(VLOOKUP($A30,Sheet1!A:AN,18,0),""))</f>
        <v/>
      </c>
      <c r="S30" s="5" t="str">
        <f>IF($A30="","",IFERROR(VLOOKUP($A30,Sheet1!$A:$AN,19,0),""))</f>
        <v/>
      </c>
      <c r="T30" s="5" t="str">
        <f t="shared" si="3"/>
        <v/>
      </c>
      <c r="U30" s="5" t="str">
        <f>IF($A30="","",IFERROR(VLOOKUP($A30,Sheet1!$A:$AN,21,0),""))</f>
        <v/>
      </c>
      <c r="V30" s="5" t="str">
        <f>IF($A30="","",IFERROR(SUBSTITUTE(VLOOKUP($A30,Sheet1!$A:$AN,22,0),"族",""),""))</f>
        <v/>
      </c>
      <c r="W30" s="5" t="str">
        <f>IF($A30="","",IFERROR(VLOOKUP($A30,Sheet1!$A:$AN,23,0),""))</f>
        <v/>
      </c>
      <c r="X30" s="5" t="str">
        <f>IF($A30="","",IFERROR(VLOOKUP($A30,Sheet1!$A:$AN,24,0),""))</f>
        <v/>
      </c>
      <c r="Y30" s="5" t="str">
        <f>IF($A30="","",IFERROR(VLOOKUP($A30,Sheet1!$A:$AN,25,0),""))</f>
        <v/>
      </c>
      <c r="AK30" s="5" t="str">
        <f>IF($A30="","",IFERROR(VLOOKUP($A30,Sheet1!$A:$AN,37,0),""))</f>
        <v/>
      </c>
      <c r="AL30" s="13" t="str">
        <f>IF($A30="","",IFERROR(VLOOKUP($A30,Sheet1!$A:$AN,38,0),""))</f>
        <v/>
      </c>
      <c r="AM30" s="13" t="str">
        <f>IF($A30="","",IFERROR(VLOOKUP($A30,Sheet1!$A:$AN,39,0),""))</f>
        <v/>
      </c>
      <c r="AN30" s="13" t="str">
        <f>IF($A30="","",IFERROR(VLOOKUP($A30,Sheet1!$A:$AN,40,0),""))</f>
        <v/>
      </c>
    </row>
    <row r="31" customHeight="1" spans="1:40">
      <c r="A31" s="5" t="str">
        <f>IF(Sheet1!$A31="","",Sheet1!$A31)</f>
        <v/>
      </c>
      <c r="B31" s="5" t="str">
        <f t="shared" si="0"/>
        <v/>
      </c>
      <c r="C31" s="5" t="str">
        <f>IF($A31="","",IFERROR(VLOOKUP($A31,Sheet1!$A:$AN,3,0),""))</f>
        <v/>
      </c>
      <c r="D31" s="5" t="str">
        <f t="shared" si="4"/>
        <v/>
      </c>
      <c r="I31" s="5" t="str">
        <f t="shared" si="1"/>
        <v/>
      </c>
      <c r="L31" s="12"/>
      <c r="M31" s="5" t="str">
        <f t="shared" si="2"/>
        <v/>
      </c>
      <c r="R31" s="5" t="str">
        <f>IF($A31="","",IFERROR(VLOOKUP($A31,Sheet1!A:AN,18,0),""))</f>
        <v/>
      </c>
      <c r="S31" s="5" t="str">
        <f>IF($A31="","",IFERROR(VLOOKUP($A31,Sheet1!$A:$AN,19,0),""))</f>
        <v/>
      </c>
      <c r="T31" s="5" t="str">
        <f t="shared" si="3"/>
        <v/>
      </c>
      <c r="U31" s="5" t="str">
        <f>IF($A31="","",IFERROR(VLOOKUP($A31,Sheet1!$A:$AN,21,0),""))</f>
        <v/>
      </c>
      <c r="V31" s="5" t="str">
        <f>IF($A31="","",IFERROR(SUBSTITUTE(VLOOKUP($A31,Sheet1!$A:$AN,22,0),"族",""),""))</f>
        <v/>
      </c>
      <c r="W31" s="5" t="str">
        <f>IF($A31="","",IFERROR(VLOOKUP($A31,Sheet1!$A:$AN,23,0),""))</f>
        <v/>
      </c>
      <c r="X31" s="5" t="str">
        <f>IF($A31="","",IFERROR(VLOOKUP($A31,Sheet1!$A:$AN,24,0),""))</f>
        <v/>
      </c>
      <c r="Y31" s="5" t="str">
        <f>IF($A31="","",IFERROR(VLOOKUP($A31,Sheet1!$A:$AN,25,0),""))</f>
        <v/>
      </c>
      <c r="AK31" s="5" t="str">
        <f>IF($A31="","",IFERROR(VLOOKUP($A31,Sheet1!$A:$AN,37,0),""))</f>
        <v/>
      </c>
      <c r="AL31" s="13" t="str">
        <f>IF($A31="","",IFERROR(VLOOKUP($A31,Sheet1!$A:$AN,38,0),""))</f>
        <v/>
      </c>
      <c r="AM31" s="13" t="str">
        <f>IF($A31="","",IFERROR(VLOOKUP($A31,Sheet1!$A:$AN,39,0),""))</f>
        <v/>
      </c>
      <c r="AN31" s="13" t="str">
        <f>IF($A31="","",IFERROR(VLOOKUP($A31,Sheet1!$A:$AN,40,0),""))</f>
        <v/>
      </c>
    </row>
    <row r="32" customHeight="1" spans="1:40">
      <c r="A32" s="5" t="str">
        <f>IF(Sheet1!$A32="","",Sheet1!$A32)</f>
        <v/>
      </c>
      <c r="B32" s="5" t="str">
        <f t="shared" si="0"/>
        <v/>
      </c>
      <c r="C32" s="5" t="str">
        <f>IF($A32="","",IFERROR(VLOOKUP($A32,Sheet1!$A:$AN,3,0),""))</f>
        <v/>
      </c>
      <c r="D32" s="5" t="str">
        <f t="shared" si="4"/>
        <v/>
      </c>
      <c r="I32" s="5" t="str">
        <f t="shared" si="1"/>
        <v/>
      </c>
      <c r="L32" s="12"/>
      <c r="M32" s="5" t="str">
        <f t="shared" si="2"/>
        <v/>
      </c>
      <c r="R32" s="5" t="str">
        <f>IF($A32="","",IFERROR(VLOOKUP($A32,Sheet1!A:AN,18,0),""))</f>
        <v/>
      </c>
      <c r="S32" s="5" t="str">
        <f>IF($A32="","",IFERROR(VLOOKUP($A32,Sheet1!$A:$AN,19,0),""))</f>
        <v/>
      </c>
      <c r="T32" s="5" t="str">
        <f t="shared" si="3"/>
        <v/>
      </c>
      <c r="U32" s="5" t="str">
        <f>IF($A32="","",IFERROR(VLOOKUP($A32,Sheet1!$A:$AN,21,0),""))</f>
        <v/>
      </c>
      <c r="V32" s="5" t="str">
        <f>IF($A32="","",IFERROR(SUBSTITUTE(VLOOKUP($A32,Sheet1!$A:$AN,22,0),"族",""),""))</f>
        <v/>
      </c>
      <c r="W32" s="5" t="str">
        <f>IF($A32="","",IFERROR(VLOOKUP($A32,Sheet1!$A:$AN,23,0),""))</f>
        <v/>
      </c>
      <c r="X32" s="5" t="str">
        <f>IF($A32="","",IFERROR(VLOOKUP($A32,Sheet1!$A:$AN,24,0),""))</f>
        <v/>
      </c>
      <c r="Y32" s="5" t="str">
        <f>IF($A32="","",IFERROR(VLOOKUP($A32,Sheet1!$A:$AN,25,0),""))</f>
        <v/>
      </c>
      <c r="AK32" s="5" t="str">
        <f>IF($A32="","",IFERROR(VLOOKUP($A32,Sheet1!$A:$AN,37,0),""))</f>
        <v/>
      </c>
      <c r="AL32" s="13" t="str">
        <f>IF($A32="","",IFERROR(VLOOKUP($A32,Sheet1!$A:$AN,38,0),""))</f>
        <v/>
      </c>
      <c r="AM32" s="13" t="str">
        <f>IF($A32="","",IFERROR(VLOOKUP($A32,Sheet1!$A:$AN,39,0),""))</f>
        <v/>
      </c>
      <c r="AN32" s="13" t="str">
        <f>IF($A32="","",IFERROR(VLOOKUP($A32,Sheet1!$A:$AN,40,0),""))</f>
        <v/>
      </c>
    </row>
    <row r="33" customHeight="1" spans="1:40">
      <c r="A33" s="5" t="str">
        <f>IF(Sheet1!$A33="","",Sheet1!$A33)</f>
        <v/>
      </c>
      <c r="B33" s="5" t="str">
        <f t="shared" si="0"/>
        <v/>
      </c>
      <c r="C33" s="5" t="str">
        <f>IF($A33="","",IFERROR(VLOOKUP($A33,Sheet1!$A:$AN,3,0),""))</f>
        <v/>
      </c>
      <c r="D33" s="5" t="str">
        <f t="shared" si="4"/>
        <v/>
      </c>
      <c r="I33" s="5" t="str">
        <f t="shared" si="1"/>
        <v/>
      </c>
      <c r="L33" s="12"/>
      <c r="M33" s="5" t="str">
        <f t="shared" si="2"/>
        <v/>
      </c>
      <c r="R33" s="5" t="str">
        <f>IF($A33="","",IFERROR(VLOOKUP($A33,Sheet1!A:AN,18,0),""))</f>
        <v/>
      </c>
      <c r="S33" s="5" t="str">
        <f>IF($A33="","",IFERROR(VLOOKUP($A33,Sheet1!$A:$AN,19,0),""))</f>
        <v/>
      </c>
      <c r="T33" s="5" t="str">
        <f t="shared" si="3"/>
        <v/>
      </c>
      <c r="U33" s="5" t="str">
        <f>IF($A33="","",IFERROR(VLOOKUP($A33,Sheet1!$A:$AN,21,0),""))</f>
        <v/>
      </c>
      <c r="V33" s="5" t="str">
        <f>IF($A33="","",IFERROR(SUBSTITUTE(VLOOKUP($A33,Sheet1!$A:$AN,22,0),"族",""),""))</f>
        <v/>
      </c>
      <c r="W33" s="5" t="str">
        <f>IF($A33="","",IFERROR(VLOOKUP($A33,Sheet1!$A:$AN,23,0),""))</f>
        <v/>
      </c>
      <c r="X33" s="5" t="str">
        <f>IF($A33="","",IFERROR(VLOOKUP($A33,Sheet1!$A:$AN,24,0),""))</f>
        <v/>
      </c>
      <c r="Y33" s="5" t="str">
        <f>IF($A33="","",IFERROR(VLOOKUP($A33,Sheet1!$A:$AN,25,0),""))</f>
        <v/>
      </c>
      <c r="AK33" s="5" t="str">
        <f>IF($A33="","",IFERROR(VLOOKUP($A33,Sheet1!$A:$AN,37,0),""))</f>
        <v/>
      </c>
      <c r="AL33" s="13" t="str">
        <f>IF($A33="","",IFERROR(VLOOKUP($A33,Sheet1!$A:$AN,38,0),""))</f>
        <v/>
      </c>
      <c r="AM33" s="13" t="str">
        <f>IF($A33="","",IFERROR(VLOOKUP($A33,Sheet1!$A:$AN,39,0),""))</f>
        <v/>
      </c>
      <c r="AN33" s="13" t="str">
        <f>IF($A33="","",IFERROR(VLOOKUP($A33,Sheet1!$A:$AN,40,0),""))</f>
        <v/>
      </c>
    </row>
    <row r="34" customHeight="1" spans="1:40">
      <c r="A34" s="5" t="str">
        <f>IF(Sheet1!$A34="","",Sheet1!$A34)</f>
        <v/>
      </c>
      <c r="B34" s="5" t="str">
        <f t="shared" si="0"/>
        <v/>
      </c>
      <c r="C34" s="5" t="str">
        <f>IF($A34="","",IFERROR(VLOOKUP($A34,Sheet1!$A:$AN,3,0),""))</f>
        <v/>
      </c>
      <c r="D34" s="5" t="str">
        <f t="shared" si="4"/>
        <v/>
      </c>
      <c r="I34" s="5" t="str">
        <f t="shared" si="1"/>
        <v/>
      </c>
      <c r="L34" s="12"/>
      <c r="M34" s="5" t="str">
        <f t="shared" si="2"/>
        <v/>
      </c>
      <c r="R34" s="5" t="str">
        <f>IF($A34="","",IFERROR(VLOOKUP($A34,Sheet1!A:AN,18,0),""))</f>
        <v/>
      </c>
      <c r="S34" s="5" t="str">
        <f>IF($A34="","",IFERROR(VLOOKUP($A34,Sheet1!$A:$AN,19,0),""))</f>
        <v/>
      </c>
      <c r="T34" s="5" t="str">
        <f t="shared" si="3"/>
        <v/>
      </c>
      <c r="U34" s="5" t="str">
        <f>IF($A34="","",IFERROR(VLOOKUP($A34,Sheet1!$A:$AN,21,0),""))</f>
        <v/>
      </c>
      <c r="V34" s="5" t="str">
        <f>IF($A34="","",IFERROR(SUBSTITUTE(VLOOKUP($A34,Sheet1!$A:$AN,22,0),"族",""),""))</f>
        <v/>
      </c>
      <c r="W34" s="5" t="str">
        <f>IF($A34="","",IFERROR(VLOOKUP($A34,Sheet1!$A:$AN,23,0),""))</f>
        <v/>
      </c>
      <c r="X34" s="5" t="str">
        <f>IF($A34="","",IFERROR(VLOOKUP($A34,Sheet1!$A:$AN,24,0),""))</f>
        <v/>
      </c>
      <c r="Y34" s="5" t="str">
        <f>IF($A34="","",IFERROR(VLOOKUP($A34,Sheet1!$A:$AN,25,0),""))</f>
        <v/>
      </c>
      <c r="AK34" s="5" t="str">
        <f>IF($A34="","",IFERROR(VLOOKUP($A34,Sheet1!$A:$AN,37,0),""))</f>
        <v/>
      </c>
      <c r="AL34" s="13" t="str">
        <f>IF($A34="","",IFERROR(VLOOKUP($A34,Sheet1!$A:$AN,38,0),""))</f>
        <v/>
      </c>
      <c r="AM34" s="13" t="str">
        <f>IF($A34="","",IFERROR(VLOOKUP($A34,Sheet1!$A:$AN,39,0),""))</f>
        <v/>
      </c>
      <c r="AN34" s="13" t="str">
        <f>IF($A34="","",IFERROR(VLOOKUP($A34,Sheet1!$A:$AN,40,0),""))</f>
        <v/>
      </c>
    </row>
    <row r="35" customHeight="1" spans="1:40">
      <c r="A35" s="5" t="str">
        <f>IF(Sheet1!$A35="","",Sheet1!$A35)</f>
        <v/>
      </c>
      <c r="B35" s="5" t="str">
        <f t="shared" si="0"/>
        <v/>
      </c>
      <c r="C35" s="5" t="str">
        <f>IF($A35="","",IFERROR(VLOOKUP($A35,Sheet1!$A:$AN,3,0),""))</f>
        <v/>
      </c>
      <c r="D35" s="5" t="str">
        <f t="shared" si="4"/>
        <v/>
      </c>
      <c r="I35" s="5" t="str">
        <f t="shared" si="1"/>
        <v/>
      </c>
      <c r="L35" s="12"/>
      <c r="M35" s="5" t="str">
        <f t="shared" si="2"/>
        <v/>
      </c>
      <c r="R35" s="5" t="str">
        <f>IF($A35="","",IFERROR(VLOOKUP($A35,Sheet1!A:AN,18,0),""))</f>
        <v/>
      </c>
      <c r="S35" s="5" t="str">
        <f>IF($A35="","",IFERROR(VLOOKUP($A35,Sheet1!$A:$AN,19,0),""))</f>
        <v/>
      </c>
      <c r="T35" s="5" t="str">
        <f t="shared" si="3"/>
        <v/>
      </c>
      <c r="U35" s="5" t="str">
        <f>IF($A35="","",IFERROR(VLOOKUP($A35,Sheet1!$A:$AN,21,0),""))</f>
        <v/>
      </c>
      <c r="V35" s="5" t="str">
        <f>IF($A35="","",IFERROR(SUBSTITUTE(VLOOKUP($A35,Sheet1!$A:$AN,22,0),"族",""),""))</f>
        <v/>
      </c>
      <c r="W35" s="5" t="str">
        <f>IF($A35="","",IFERROR(VLOOKUP($A35,Sheet1!$A:$AN,23,0),""))</f>
        <v/>
      </c>
      <c r="X35" s="5" t="str">
        <f>IF($A35="","",IFERROR(VLOOKUP($A35,Sheet1!$A:$AN,24,0),""))</f>
        <v/>
      </c>
      <c r="Y35" s="5" t="str">
        <f>IF($A35="","",IFERROR(VLOOKUP($A35,Sheet1!$A:$AN,25,0),""))</f>
        <v/>
      </c>
      <c r="AK35" s="5" t="str">
        <f>IF($A35="","",IFERROR(VLOOKUP($A35,Sheet1!$A:$AN,37,0),""))</f>
        <v/>
      </c>
      <c r="AL35" s="13" t="str">
        <f>IF($A35="","",IFERROR(VLOOKUP($A35,Sheet1!$A:$AN,38,0),""))</f>
        <v/>
      </c>
      <c r="AM35" s="13" t="str">
        <f>IF($A35="","",IFERROR(VLOOKUP($A35,Sheet1!$A:$AN,39,0),""))</f>
        <v/>
      </c>
      <c r="AN35" s="13" t="str">
        <f>IF($A35="","",IFERROR(VLOOKUP($A35,Sheet1!$A:$AN,40,0),""))</f>
        <v/>
      </c>
    </row>
    <row r="36" customHeight="1" spans="1:40">
      <c r="A36" s="5" t="str">
        <f>IF(Sheet1!$A36="","",Sheet1!$A36)</f>
        <v/>
      </c>
      <c r="B36" s="5" t="str">
        <f t="shared" si="0"/>
        <v/>
      </c>
      <c r="C36" s="5" t="str">
        <f>IF($A36="","",IFERROR(VLOOKUP($A36,Sheet1!$A:$AN,3,0),""))</f>
        <v/>
      </c>
      <c r="D36" s="5" t="str">
        <f t="shared" si="4"/>
        <v/>
      </c>
      <c r="I36" s="5" t="str">
        <f t="shared" si="1"/>
        <v/>
      </c>
      <c r="L36" s="12"/>
      <c r="M36" s="5" t="str">
        <f t="shared" si="2"/>
        <v/>
      </c>
      <c r="R36" s="5" t="str">
        <f>IF($A36="","",IFERROR(VLOOKUP($A36,Sheet1!A:AN,18,0),""))</f>
        <v/>
      </c>
      <c r="S36" s="5" t="str">
        <f>IF($A36="","",IFERROR(VLOOKUP($A36,Sheet1!$A:$AN,19,0),""))</f>
        <v/>
      </c>
      <c r="T36" s="5" t="str">
        <f t="shared" si="3"/>
        <v/>
      </c>
      <c r="U36" s="5" t="str">
        <f>IF($A36="","",IFERROR(VLOOKUP($A36,Sheet1!$A:$AN,21,0),""))</f>
        <v/>
      </c>
      <c r="V36" s="5" t="str">
        <f>IF($A36="","",IFERROR(SUBSTITUTE(VLOOKUP($A36,Sheet1!$A:$AN,22,0),"族",""),""))</f>
        <v/>
      </c>
      <c r="W36" s="5" t="str">
        <f>IF($A36="","",IFERROR(VLOOKUP($A36,Sheet1!$A:$AN,23,0),""))</f>
        <v/>
      </c>
      <c r="X36" s="5" t="str">
        <f>IF($A36="","",IFERROR(VLOOKUP($A36,Sheet1!$A:$AN,24,0),""))</f>
        <v/>
      </c>
      <c r="Y36" s="5" t="str">
        <f>IF($A36="","",IFERROR(VLOOKUP($A36,Sheet1!$A:$AN,25,0),""))</f>
        <v/>
      </c>
      <c r="AK36" s="5" t="str">
        <f>IF($A36="","",IFERROR(VLOOKUP($A36,Sheet1!$A:$AN,37,0),""))</f>
        <v/>
      </c>
      <c r="AL36" s="13" t="str">
        <f>IF($A36="","",IFERROR(VLOOKUP($A36,Sheet1!$A:$AN,38,0),""))</f>
        <v/>
      </c>
      <c r="AM36" s="13" t="str">
        <f>IF($A36="","",IFERROR(VLOOKUP($A36,Sheet1!$A:$AN,39,0),""))</f>
        <v/>
      </c>
      <c r="AN36" s="13" t="str">
        <f>IF($A36="","",IFERROR(VLOOKUP($A36,Sheet1!$A:$AN,40,0),""))</f>
        <v/>
      </c>
    </row>
    <row r="37" customHeight="1" spans="1:40">
      <c r="A37" s="5" t="str">
        <f>IF(Sheet1!$A37="","",Sheet1!$A37)</f>
        <v/>
      </c>
      <c r="B37" s="5" t="str">
        <f t="shared" si="0"/>
        <v/>
      </c>
      <c r="C37" s="5" t="str">
        <f>IF($A37="","",IFERROR(VLOOKUP($A37,Sheet1!$A:$AN,3,0),""))</f>
        <v/>
      </c>
      <c r="D37" s="5" t="str">
        <f t="shared" si="4"/>
        <v/>
      </c>
      <c r="I37" s="5" t="str">
        <f t="shared" si="1"/>
        <v/>
      </c>
      <c r="L37" s="12"/>
      <c r="M37" s="5" t="str">
        <f t="shared" si="2"/>
        <v/>
      </c>
      <c r="R37" s="5" t="str">
        <f>IF($A37="","",IFERROR(VLOOKUP($A37,Sheet1!A:AN,18,0),""))</f>
        <v/>
      </c>
      <c r="S37" s="5" t="str">
        <f>IF($A37="","",IFERROR(VLOOKUP($A37,Sheet1!$A:$AN,19,0),""))</f>
        <v/>
      </c>
      <c r="T37" s="5" t="str">
        <f t="shared" si="3"/>
        <v/>
      </c>
      <c r="U37" s="5" t="str">
        <f>IF($A37="","",IFERROR(VLOOKUP($A37,Sheet1!$A:$AN,21,0),""))</f>
        <v/>
      </c>
      <c r="V37" s="5" t="str">
        <f>IF($A37="","",IFERROR(SUBSTITUTE(VLOOKUP($A37,Sheet1!$A:$AN,22,0),"族",""),""))</f>
        <v/>
      </c>
      <c r="W37" s="5" t="str">
        <f>IF($A37="","",IFERROR(VLOOKUP($A37,Sheet1!$A:$AN,23,0),""))</f>
        <v/>
      </c>
      <c r="X37" s="5" t="str">
        <f>IF($A37="","",IFERROR(VLOOKUP($A37,Sheet1!$A:$AN,24,0),""))</f>
        <v/>
      </c>
      <c r="Y37" s="5" t="str">
        <f>IF($A37="","",IFERROR(VLOOKUP($A37,Sheet1!$A:$AN,25,0),""))</f>
        <v/>
      </c>
      <c r="AK37" s="5" t="str">
        <f>IF($A37="","",IFERROR(VLOOKUP($A37,Sheet1!$A:$AN,37,0),""))</f>
        <v/>
      </c>
      <c r="AL37" s="13" t="str">
        <f>IF($A37="","",IFERROR(VLOOKUP($A37,Sheet1!$A:$AN,38,0),""))</f>
        <v/>
      </c>
      <c r="AM37" s="13" t="str">
        <f>IF($A37="","",IFERROR(VLOOKUP($A37,Sheet1!$A:$AN,39,0),""))</f>
        <v/>
      </c>
      <c r="AN37" s="13" t="str">
        <f>IF($A37="","",IFERROR(VLOOKUP($A37,Sheet1!$A:$AN,40,0),""))</f>
        <v/>
      </c>
    </row>
    <row r="38" customHeight="1" spans="1:40">
      <c r="A38" s="5" t="str">
        <f>IF(Sheet1!$A38="","",Sheet1!$A38)</f>
        <v/>
      </c>
      <c r="B38" s="5" t="str">
        <f t="shared" si="0"/>
        <v/>
      </c>
      <c r="C38" s="5" t="str">
        <f>IF($A38="","",IFERROR(VLOOKUP($A38,Sheet1!$A:$AN,3,0),""))</f>
        <v/>
      </c>
      <c r="D38" s="5" t="str">
        <f t="shared" si="4"/>
        <v/>
      </c>
      <c r="I38" s="5" t="str">
        <f t="shared" si="1"/>
        <v/>
      </c>
      <c r="L38" s="12"/>
      <c r="M38" s="5" t="str">
        <f t="shared" si="2"/>
        <v/>
      </c>
      <c r="R38" s="5" t="str">
        <f>IF($A38="","",IFERROR(VLOOKUP($A38,Sheet1!A:AN,18,0),""))</f>
        <v/>
      </c>
      <c r="S38" s="5" t="str">
        <f>IF($A38="","",IFERROR(VLOOKUP($A38,Sheet1!$A:$AN,19,0),""))</f>
        <v/>
      </c>
      <c r="T38" s="5" t="str">
        <f t="shared" si="3"/>
        <v/>
      </c>
      <c r="U38" s="5" t="str">
        <f>IF($A38="","",IFERROR(VLOOKUP($A38,Sheet1!$A:$AN,21,0),""))</f>
        <v/>
      </c>
      <c r="V38" s="5" t="str">
        <f>IF($A38="","",IFERROR(SUBSTITUTE(VLOOKUP($A38,Sheet1!$A:$AN,22,0),"族",""),""))</f>
        <v/>
      </c>
      <c r="W38" s="5" t="str">
        <f>IF($A38="","",IFERROR(VLOOKUP($A38,Sheet1!$A:$AN,23,0),""))</f>
        <v/>
      </c>
      <c r="X38" s="5" t="str">
        <f>IF($A38="","",IFERROR(VLOOKUP($A38,Sheet1!$A:$AN,24,0),""))</f>
        <v/>
      </c>
      <c r="Y38" s="5" t="str">
        <f>IF($A38="","",IFERROR(VLOOKUP($A38,Sheet1!$A:$AN,25,0),""))</f>
        <v/>
      </c>
      <c r="AK38" s="5" t="str">
        <f>IF($A38="","",IFERROR(VLOOKUP($A38,Sheet1!$A:$AN,37,0),""))</f>
        <v/>
      </c>
      <c r="AL38" s="13" t="str">
        <f>IF($A38="","",IFERROR(VLOOKUP($A38,Sheet1!$A:$AN,38,0),""))</f>
        <v/>
      </c>
      <c r="AM38" s="13" t="str">
        <f>IF($A38="","",IFERROR(VLOOKUP($A38,Sheet1!$A:$AN,39,0),""))</f>
        <v/>
      </c>
      <c r="AN38" s="13" t="str">
        <f>IF($A38="","",IFERROR(VLOOKUP($A38,Sheet1!$A:$AN,40,0),""))</f>
        <v/>
      </c>
    </row>
    <row r="39" customHeight="1" spans="1:40">
      <c r="A39" s="5" t="str">
        <f>IF(Sheet1!$A39="","",Sheet1!$A39)</f>
        <v/>
      </c>
      <c r="B39" s="5" t="str">
        <f t="shared" si="0"/>
        <v/>
      </c>
      <c r="C39" s="5" t="str">
        <f>IF($A39="","",IFERROR(VLOOKUP($A39,Sheet1!$A:$AN,3,0),""))</f>
        <v/>
      </c>
      <c r="D39" s="5" t="str">
        <f t="shared" si="4"/>
        <v/>
      </c>
      <c r="I39" s="5" t="str">
        <f t="shared" si="1"/>
        <v/>
      </c>
      <c r="L39" s="12"/>
      <c r="M39" s="5" t="str">
        <f t="shared" si="2"/>
        <v/>
      </c>
      <c r="R39" s="5" t="str">
        <f>IF($A39="","",IFERROR(VLOOKUP($A39,Sheet1!A:AN,18,0),""))</f>
        <v/>
      </c>
      <c r="S39" s="5" t="str">
        <f>IF($A39="","",IFERROR(VLOOKUP($A39,Sheet1!$A:$AN,19,0),""))</f>
        <v/>
      </c>
      <c r="T39" s="5" t="str">
        <f t="shared" si="3"/>
        <v/>
      </c>
      <c r="U39" s="5" t="str">
        <f>IF($A39="","",IFERROR(VLOOKUP($A39,Sheet1!$A:$AN,21,0),""))</f>
        <v/>
      </c>
      <c r="V39" s="5" t="str">
        <f>IF($A39="","",IFERROR(SUBSTITUTE(VLOOKUP($A39,Sheet1!$A:$AN,22,0),"族",""),""))</f>
        <v/>
      </c>
      <c r="W39" s="5" t="str">
        <f>IF($A39="","",IFERROR(VLOOKUP($A39,Sheet1!$A:$AN,23,0),""))</f>
        <v/>
      </c>
      <c r="X39" s="5" t="str">
        <f>IF($A39="","",IFERROR(VLOOKUP($A39,Sheet1!$A:$AN,24,0),""))</f>
        <v/>
      </c>
      <c r="Y39" s="5" t="str">
        <f>IF($A39="","",IFERROR(VLOOKUP($A39,Sheet1!$A:$AN,25,0),""))</f>
        <v/>
      </c>
      <c r="AK39" s="5" t="str">
        <f>IF($A39="","",IFERROR(VLOOKUP($A39,Sheet1!$A:$AN,37,0),""))</f>
        <v/>
      </c>
      <c r="AL39" s="13" t="str">
        <f>IF($A39="","",IFERROR(VLOOKUP($A39,Sheet1!$A:$AN,38,0),""))</f>
        <v/>
      </c>
      <c r="AM39" s="13" t="str">
        <f>IF($A39="","",IFERROR(VLOOKUP($A39,Sheet1!$A:$AN,39,0),""))</f>
        <v/>
      </c>
      <c r="AN39" s="13" t="str">
        <f>IF($A39="","",IFERROR(VLOOKUP($A39,Sheet1!$A:$AN,40,0),""))</f>
        <v/>
      </c>
    </row>
    <row r="40" customHeight="1" spans="1:40">
      <c r="A40" s="5" t="str">
        <f>IF(Sheet1!$A40="","",Sheet1!$A40)</f>
        <v/>
      </c>
      <c r="B40" s="5" t="str">
        <f t="shared" si="0"/>
        <v/>
      </c>
      <c r="C40" s="5" t="str">
        <f>IF($A40="","",IFERROR(VLOOKUP($A40,Sheet1!$A:$AN,3,0),""))</f>
        <v/>
      </c>
      <c r="D40" s="5" t="str">
        <f t="shared" si="4"/>
        <v/>
      </c>
      <c r="I40" s="5" t="str">
        <f t="shared" si="1"/>
        <v/>
      </c>
      <c r="L40" s="12"/>
      <c r="M40" s="5" t="str">
        <f t="shared" si="2"/>
        <v/>
      </c>
      <c r="R40" s="5" t="str">
        <f>IF($A40="","",IFERROR(VLOOKUP($A40,Sheet1!A:AN,18,0),""))</f>
        <v/>
      </c>
      <c r="S40" s="5" t="str">
        <f>IF($A40="","",IFERROR(VLOOKUP($A40,Sheet1!$A:$AN,19,0),""))</f>
        <v/>
      </c>
      <c r="T40" s="5" t="str">
        <f t="shared" si="3"/>
        <v/>
      </c>
      <c r="U40" s="5" t="str">
        <f>IF($A40="","",IFERROR(VLOOKUP($A40,Sheet1!$A:$AN,21,0),""))</f>
        <v/>
      </c>
      <c r="V40" s="5" t="str">
        <f>IF($A40="","",IFERROR(SUBSTITUTE(VLOOKUP($A40,Sheet1!$A:$AN,22,0),"族",""),""))</f>
        <v/>
      </c>
      <c r="W40" s="5" t="str">
        <f>IF($A40="","",IFERROR(VLOOKUP($A40,Sheet1!$A:$AN,23,0),""))</f>
        <v/>
      </c>
      <c r="X40" s="5" t="str">
        <f>IF($A40="","",IFERROR(VLOOKUP($A40,Sheet1!$A:$AN,24,0),""))</f>
        <v/>
      </c>
      <c r="Y40" s="5" t="str">
        <f>IF($A40="","",IFERROR(VLOOKUP($A40,Sheet1!$A:$AN,25,0),""))</f>
        <v/>
      </c>
      <c r="AK40" s="5" t="str">
        <f>IF($A40="","",IFERROR(VLOOKUP($A40,Sheet1!$A:$AN,37,0),""))</f>
        <v/>
      </c>
      <c r="AL40" s="13" t="str">
        <f>IF($A40="","",IFERROR(VLOOKUP($A40,Sheet1!$A:$AN,38,0),""))</f>
        <v/>
      </c>
      <c r="AM40" s="13" t="str">
        <f>IF($A40="","",IFERROR(VLOOKUP($A40,Sheet1!$A:$AN,39,0),""))</f>
        <v/>
      </c>
      <c r="AN40" s="13" t="str">
        <f>IF($A40="","",IFERROR(VLOOKUP($A40,Sheet1!$A:$AN,40,0),""))</f>
        <v/>
      </c>
    </row>
    <row r="41" customHeight="1" spans="1:40">
      <c r="A41" s="5" t="str">
        <f>IF(Sheet1!$A41="","",Sheet1!$A41)</f>
        <v/>
      </c>
      <c r="B41" s="5" t="str">
        <f t="shared" si="0"/>
        <v/>
      </c>
      <c r="C41" s="5" t="str">
        <f>IF($A41="","",IFERROR(VLOOKUP($A41,Sheet1!$A:$AN,3,0),""))</f>
        <v/>
      </c>
      <c r="D41" s="5" t="str">
        <f t="shared" si="4"/>
        <v/>
      </c>
      <c r="I41" s="5" t="str">
        <f t="shared" si="1"/>
        <v/>
      </c>
      <c r="L41" s="12"/>
      <c r="M41" s="5" t="str">
        <f t="shared" si="2"/>
        <v/>
      </c>
      <c r="R41" s="5" t="str">
        <f>IF($A41="","",IFERROR(VLOOKUP($A41,Sheet1!A:AN,18,0),""))</f>
        <v/>
      </c>
      <c r="S41" s="5" t="str">
        <f>IF($A41="","",IFERROR(VLOOKUP($A41,Sheet1!$A:$AN,19,0),""))</f>
        <v/>
      </c>
      <c r="T41" s="5" t="str">
        <f t="shared" si="3"/>
        <v/>
      </c>
      <c r="U41" s="5" t="str">
        <f>IF($A41="","",IFERROR(VLOOKUP($A41,Sheet1!$A:$AN,21,0),""))</f>
        <v/>
      </c>
      <c r="V41" s="5" t="str">
        <f>IF($A41="","",IFERROR(SUBSTITUTE(VLOOKUP($A41,Sheet1!$A:$AN,22,0),"族",""),""))</f>
        <v/>
      </c>
      <c r="W41" s="5" t="str">
        <f>IF($A41="","",IFERROR(VLOOKUP($A41,Sheet1!$A:$AN,23,0),""))</f>
        <v/>
      </c>
      <c r="X41" s="5" t="str">
        <f>IF($A41="","",IFERROR(VLOOKUP($A41,Sheet1!$A:$AN,24,0),""))</f>
        <v/>
      </c>
      <c r="Y41" s="5" t="str">
        <f>IF($A41="","",IFERROR(VLOOKUP($A41,Sheet1!$A:$AN,25,0),""))</f>
        <v/>
      </c>
      <c r="AK41" s="5" t="str">
        <f>IF($A41="","",IFERROR(VLOOKUP($A41,Sheet1!$A:$AN,37,0),""))</f>
        <v/>
      </c>
      <c r="AL41" s="13" t="str">
        <f>IF($A41="","",IFERROR(VLOOKUP($A41,Sheet1!$A:$AN,38,0),""))</f>
        <v/>
      </c>
      <c r="AM41" s="13" t="str">
        <f>IF($A41="","",IFERROR(VLOOKUP($A41,Sheet1!$A:$AN,39,0),""))</f>
        <v/>
      </c>
      <c r="AN41" s="13" t="str">
        <f>IF($A41="","",IFERROR(VLOOKUP($A41,Sheet1!$A:$AN,40,0),""))</f>
        <v/>
      </c>
    </row>
    <row r="42" customHeight="1" spans="1:40">
      <c r="A42" s="5" t="str">
        <f>IF(Sheet1!$A42="","",Sheet1!$A42)</f>
        <v/>
      </c>
      <c r="B42" s="5" t="str">
        <f t="shared" si="0"/>
        <v/>
      </c>
      <c r="C42" s="5" t="str">
        <f>IF($A42="","",IFERROR(VLOOKUP($A42,Sheet1!$A:$AN,3,0),""))</f>
        <v/>
      </c>
      <c r="D42" s="5" t="str">
        <f t="shared" si="4"/>
        <v/>
      </c>
      <c r="I42" s="5" t="str">
        <f t="shared" si="1"/>
        <v/>
      </c>
      <c r="L42" s="12"/>
      <c r="M42" s="5" t="str">
        <f t="shared" si="2"/>
        <v/>
      </c>
      <c r="R42" s="5" t="str">
        <f>IF($A42="","",IFERROR(VLOOKUP($A42,Sheet1!A:AN,18,0),""))</f>
        <v/>
      </c>
      <c r="S42" s="5" t="str">
        <f>IF($A42="","",IFERROR(VLOOKUP($A42,Sheet1!$A:$AN,19,0),""))</f>
        <v/>
      </c>
      <c r="T42" s="5" t="str">
        <f t="shared" si="3"/>
        <v/>
      </c>
      <c r="U42" s="5" t="str">
        <f>IF($A42="","",IFERROR(VLOOKUP($A42,Sheet1!$A:$AN,21,0),""))</f>
        <v/>
      </c>
      <c r="V42" s="5" t="str">
        <f>IF($A42="","",IFERROR(SUBSTITUTE(VLOOKUP($A42,Sheet1!$A:$AN,22,0),"族",""),""))</f>
        <v/>
      </c>
      <c r="W42" s="5" t="str">
        <f>IF($A42="","",IFERROR(VLOOKUP($A42,Sheet1!$A:$AN,23,0),""))</f>
        <v/>
      </c>
      <c r="X42" s="5" t="str">
        <f>IF($A42="","",IFERROR(VLOOKUP($A42,Sheet1!$A:$AN,24,0),""))</f>
        <v/>
      </c>
      <c r="Y42" s="5" t="str">
        <f>IF($A42="","",IFERROR(VLOOKUP($A42,Sheet1!$A:$AN,25,0),""))</f>
        <v/>
      </c>
      <c r="AK42" s="5" t="str">
        <f>IF($A42="","",IFERROR(VLOOKUP($A42,Sheet1!$A:$AN,37,0),""))</f>
        <v/>
      </c>
      <c r="AL42" s="13" t="str">
        <f>IF($A42="","",IFERROR(VLOOKUP($A42,Sheet1!$A:$AN,38,0),""))</f>
        <v/>
      </c>
      <c r="AM42" s="13" t="str">
        <f>IF($A42="","",IFERROR(VLOOKUP($A42,Sheet1!$A:$AN,39,0),""))</f>
        <v/>
      </c>
      <c r="AN42" s="13" t="str">
        <f>IF($A42="","",IFERROR(VLOOKUP($A42,Sheet1!$A:$AN,40,0),""))</f>
        <v/>
      </c>
    </row>
    <row r="43" customHeight="1" spans="1:40">
      <c r="A43" s="5" t="str">
        <f>IF(Sheet1!$A43="","",Sheet1!$A43)</f>
        <v/>
      </c>
      <c r="B43" s="5" t="str">
        <f t="shared" si="0"/>
        <v/>
      </c>
      <c r="C43" s="5" t="str">
        <f>IF($A43="","",IFERROR(VLOOKUP($A43,Sheet1!$A:$AN,3,0),""))</f>
        <v/>
      </c>
      <c r="D43" s="5" t="str">
        <f t="shared" si="4"/>
        <v/>
      </c>
      <c r="I43" s="5" t="str">
        <f t="shared" si="1"/>
        <v/>
      </c>
      <c r="L43" s="12"/>
      <c r="M43" s="5" t="str">
        <f t="shared" si="2"/>
        <v/>
      </c>
      <c r="R43" s="5" t="str">
        <f>IF($A43="","",IFERROR(VLOOKUP($A43,Sheet1!A:AN,18,0),""))</f>
        <v/>
      </c>
      <c r="S43" s="5" t="str">
        <f>IF($A43="","",IFERROR(VLOOKUP($A43,Sheet1!$A:$AN,19,0),""))</f>
        <v/>
      </c>
      <c r="T43" s="5" t="str">
        <f t="shared" si="3"/>
        <v/>
      </c>
      <c r="U43" s="5" t="str">
        <f>IF($A43="","",IFERROR(VLOOKUP($A43,Sheet1!$A:$AN,21,0),""))</f>
        <v/>
      </c>
      <c r="V43" s="5" t="str">
        <f>IF($A43="","",IFERROR(SUBSTITUTE(VLOOKUP($A43,Sheet1!$A:$AN,22,0),"族",""),""))</f>
        <v/>
      </c>
      <c r="W43" s="5" t="str">
        <f>IF($A43="","",IFERROR(VLOOKUP($A43,Sheet1!$A:$AN,23,0),""))</f>
        <v/>
      </c>
      <c r="X43" s="5" t="str">
        <f>IF($A43="","",IFERROR(VLOOKUP($A43,Sheet1!$A:$AN,24,0),""))</f>
        <v/>
      </c>
      <c r="Y43" s="5" t="str">
        <f>IF($A43="","",IFERROR(VLOOKUP($A43,Sheet1!$A:$AN,25,0),""))</f>
        <v/>
      </c>
      <c r="AK43" s="5" t="str">
        <f>IF($A43="","",IFERROR(VLOOKUP($A43,Sheet1!$A:$AN,37,0),""))</f>
        <v/>
      </c>
      <c r="AL43" s="13" t="str">
        <f>IF($A43="","",IFERROR(VLOOKUP($A43,Sheet1!$A:$AN,38,0),""))</f>
        <v/>
      </c>
      <c r="AM43" s="13" t="str">
        <f>IF($A43="","",IFERROR(VLOOKUP($A43,Sheet1!$A:$AN,39,0),""))</f>
        <v/>
      </c>
      <c r="AN43" s="13" t="str">
        <f>IF($A43="","",IFERROR(VLOOKUP($A43,Sheet1!$A:$AN,40,0),""))</f>
        <v/>
      </c>
    </row>
    <row r="44" customHeight="1" spans="1:40">
      <c r="A44" s="5" t="str">
        <f>IF(Sheet1!$A44="","",Sheet1!$A44)</f>
        <v/>
      </c>
      <c r="B44" s="5" t="str">
        <f t="shared" si="0"/>
        <v/>
      </c>
      <c r="C44" s="5" t="str">
        <f>IF($A44="","",IFERROR(VLOOKUP($A44,Sheet1!$A:$AN,3,0),""))</f>
        <v/>
      </c>
      <c r="D44" s="5" t="str">
        <f t="shared" si="4"/>
        <v/>
      </c>
      <c r="I44" s="5" t="str">
        <f t="shared" si="1"/>
        <v/>
      </c>
      <c r="L44" s="12"/>
      <c r="M44" s="5" t="str">
        <f t="shared" si="2"/>
        <v/>
      </c>
      <c r="R44" s="5" t="str">
        <f>IF($A44="","",IFERROR(VLOOKUP($A44,Sheet1!A:AN,18,0),""))</f>
        <v/>
      </c>
      <c r="S44" s="5" t="str">
        <f>IF($A44="","",IFERROR(VLOOKUP($A44,Sheet1!$A:$AN,19,0),""))</f>
        <v/>
      </c>
      <c r="T44" s="5" t="str">
        <f t="shared" si="3"/>
        <v/>
      </c>
      <c r="U44" s="5" t="str">
        <f>IF($A44="","",IFERROR(VLOOKUP($A44,Sheet1!$A:$AN,21,0),""))</f>
        <v/>
      </c>
      <c r="V44" s="5" t="str">
        <f>IF($A44="","",IFERROR(SUBSTITUTE(VLOOKUP($A44,Sheet1!$A:$AN,22,0),"族",""),""))</f>
        <v/>
      </c>
      <c r="W44" s="5" t="str">
        <f>IF($A44="","",IFERROR(VLOOKUP($A44,Sheet1!$A:$AN,23,0),""))</f>
        <v/>
      </c>
      <c r="X44" s="5" t="str">
        <f>IF($A44="","",IFERROR(VLOOKUP($A44,Sheet1!$A:$AN,24,0),""))</f>
        <v/>
      </c>
      <c r="Y44" s="5" t="str">
        <f>IF($A44="","",IFERROR(VLOOKUP($A44,Sheet1!$A:$AN,25,0),""))</f>
        <v/>
      </c>
      <c r="AK44" s="5" t="str">
        <f>IF($A44="","",IFERROR(VLOOKUP($A44,Sheet1!$A:$AN,37,0),""))</f>
        <v/>
      </c>
      <c r="AL44" s="13" t="str">
        <f>IF($A44="","",IFERROR(VLOOKUP($A44,Sheet1!$A:$AN,38,0),""))</f>
        <v/>
      </c>
      <c r="AM44" s="13" t="str">
        <f>IF($A44="","",IFERROR(VLOOKUP($A44,Sheet1!$A:$AN,39,0),""))</f>
        <v/>
      </c>
      <c r="AN44" s="13" t="str">
        <f>IF($A44="","",IFERROR(VLOOKUP($A44,Sheet1!$A:$AN,40,0),""))</f>
        <v/>
      </c>
    </row>
    <row r="45" customHeight="1" spans="1:40">
      <c r="A45" s="5" t="str">
        <f>IF(Sheet1!$A45="","",Sheet1!$A45)</f>
        <v/>
      </c>
      <c r="B45" s="5" t="str">
        <f t="shared" si="0"/>
        <v/>
      </c>
      <c r="C45" s="5" t="str">
        <f>IF($A45="","",IFERROR(VLOOKUP($A45,Sheet1!$A:$AN,3,0),""))</f>
        <v/>
      </c>
      <c r="D45" s="5" t="str">
        <f t="shared" si="4"/>
        <v/>
      </c>
      <c r="I45" s="5" t="str">
        <f t="shared" si="1"/>
        <v/>
      </c>
      <c r="L45" s="12"/>
      <c r="M45" s="5" t="str">
        <f t="shared" si="2"/>
        <v/>
      </c>
      <c r="R45" s="5" t="str">
        <f>IF($A45="","",IFERROR(VLOOKUP($A45,Sheet1!A:AN,18,0),""))</f>
        <v/>
      </c>
      <c r="S45" s="5" t="str">
        <f>IF($A45="","",IFERROR(VLOOKUP($A45,Sheet1!$A:$AN,19,0),""))</f>
        <v/>
      </c>
      <c r="T45" s="5" t="str">
        <f t="shared" si="3"/>
        <v/>
      </c>
      <c r="U45" s="5" t="str">
        <f>IF($A45="","",IFERROR(VLOOKUP($A45,Sheet1!$A:$AN,21,0),""))</f>
        <v/>
      </c>
      <c r="V45" s="5" t="str">
        <f>IF($A45="","",IFERROR(SUBSTITUTE(VLOOKUP($A45,Sheet1!$A:$AN,22,0),"族",""),""))</f>
        <v/>
      </c>
      <c r="W45" s="5" t="str">
        <f>IF($A45="","",IFERROR(VLOOKUP($A45,Sheet1!$A:$AN,23,0),""))</f>
        <v/>
      </c>
      <c r="X45" s="5" t="str">
        <f>IF($A45="","",IFERROR(VLOOKUP($A45,Sheet1!$A:$AN,24,0),""))</f>
        <v/>
      </c>
      <c r="Y45" s="5" t="str">
        <f>IF($A45="","",IFERROR(VLOOKUP($A45,Sheet1!$A:$AN,25,0),""))</f>
        <v/>
      </c>
      <c r="AK45" s="5" t="str">
        <f>IF($A45="","",IFERROR(VLOOKUP($A45,Sheet1!$A:$AN,37,0),""))</f>
        <v/>
      </c>
      <c r="AL45" s="13" t="str">
        <f>IF($A45="","",IFERROR(VLOOKUP($A45,Sheet1!$A:$AN,38,0),""))</f>
        <v/>
      </c>
      <c r="AM45" s="13" t="str">
        <f>IF($A45="","",IFERROR(VLOOKUP($A45,Sheet1!$A:$AN,39,0),""))</f>
        <v/>
      </c>
      <c r="AN45" s="13" t="str">
        <f>IF($A45="","",IFERROR(VLOOKUP($A45,Sheet1!$A:$AN,40,0),""))</f>
        <v/>
      </c>
    </row>
    <row r="46" customHeight="1" spans="1:40">
      <c r="A46" s="5" t="str">
        <f>IF(Sheet1!$A46="","",Sheet1!$A46)</f>
        <v/>
      </c>
      <c r="B46" s="5" t="str">
        <f t="shared" si="0"/>
        <v/>
      </c>
      <c r="C46" s="5" t="str">
        <f>IF($A46="","",IFERROR(VLOOKUP($A46,Sheet1!$A:$AN,3,0),""))</f>
        <v/>
      </c>
      <c r="D46" s="5" t="str">
        <f t="shared" si="4"/>
        <v/>
      </c>
      <c r="I46" s="5" t="str">
        <f t="shared" si="1"/>
        <v/>
      </c>
      <c r="L46" s="12"/>
      <c r="M46" s="5" t="str">
        <f t="shared" si="2"/>
        <v/>
      </c>
      <c r="R46" s="5" t="str">
        <f>IF($A46="","",IFERROR(VLOOKUP($A46,Sheet1!A:AN,18,0),""))</f>
        <v/>
      </c>
      <c r="S46" s="5" t="str">
        <f>IF($A46="","",IFERROR(VLOOKUP($A46,Sheet1!$A:$AN,19,0),""))</f>
        <v/>
      </c>
      <c r="T46" s="5" t="str">
        <f t="shared" si="3"/>
        <v/>
      </c>
      <c r="U46" s="5" t="str">
        <f>IF($A46="","",IFERROR(VLOOKUP($A46,Sheet1!$A:$AN,21,0),""))</f>
        <v/>
      </c>
      <c r="V46" s="5" t="str">
        <f>IF($A46="","",IFERROR(SUBSTITUTE(VLOOKUP($A46,Sheet1!$A:$AN,22,0),"族",""),""))</f>
        <v/>
      </c>
      <c r="W46" s="5" t="str">
        <f>IF($A46="","",IFERROR(VLOOKUP($A46,Sheet1!$A:$AN,23,0),""))</f>
        <v/>
      </c>
      <c r="X46" s="5" t="str">
        <f>IF($A46="","",IFERROR(VLOOKUP($A46,Sheet1!$A:$AN,24,0),""))</f>
        <v/>
      </c>
      <c r="Y46" s="5" t="str">
        <f>IF($A46="","",IFERROR(VLOOKUP($A46,Sheet1!$A:$AN,25,0),""))</f>
        <v/>
      </c>
      <c r="AK46" s="5" t="str">
        <f>IF($A46="","",IFERROR(VLOOKUP($A46,Sheet1!$A:$AN,37,0),""))</f>
        <v/>
      </c>
      <c r="AL46" s="13" t="str">
        <f>IF($A46="","",IFERROR(VLOOKUP($A46,Sheet1!$A:$AN,38,0),""))</f>
        <v/>
      </c>
      <c r="AM46" s="13" t="str">
        <f>IF($A46="","",IFERROR(VLOOKUP($A46,Sheet1!$A:$AN,39,0),""))</f>
        <v/>
      </c>
      <c r="AN46" s="13" t="str">
        <f>IF($A46="","",IFERROR(VLOOKUP($A46,Sheet1!$A:$AN,40,0),""))</f>
        <v/>
      </c>
    </row>
    <row r="47" customHeight="1" spans="1:40">
      <c r="A47" s="5" t="str">
        <f>IF(Sheet1!$A47="","",Sheet1!$A47)</f>
        <v/>
      </c>
      <c r="B47" s="5" t="str">
        <f t="shared" si="0"/>
        <v/>
      </c>
      <c r="C47" s="5" t="str">
        <f>IF($A47="","",IFERROR(VLOOKUP($A47,Sheet1!$A:$AN,3,0),""))</f>
        <v/>
      </c>
      <c r="D47" s="5" t="str">
        <f t="shared" si="4"/>
        <v/>
      </c>
      <c r="I47" s="5" t="str">
        <f t="shared" si="1"/>
        <v/>
      </c>
      <c r="L47" s="12"/>
      <c r="M47" s="5" t="str">
        <f t="shared" si="2"/>
        <v/>
      </c>
      <c r="R47" s="5" t="str">
        <f>IF($A47="","",IFERROR(VLOOKUP($A47,Sheet1!A:AN,18,0),""))</f>
        <v/>
      </c>
      <c r="S47" s="5" t="str">
        <f>IF($A47="","",IFERROR(VLOOKUP($A47,Sheet1!$A:$AN,19,0),""))</f>
        <v/>
      </c>
      <c r="T47" s="5" t="str">
        <f t="shared" si="3"/>
        <v/>
      </c>
      <c r="U47" s="5" t="str">
        <f>IF($A47="","",IFERROR(VLOOKUP($A47,Sheet1!$A:$AN,21,0),""))</f>
        <v/>
      </c>
      <c r="V47" s="5" t="str">
        <f>IF($A47="","",IFERROR(SUBSTITUTE(VLOOKUP($A47,Sheet1!$A:$AN,22,0),"族",""),""))</f>
        <v/>
      </c>
      <c r="W47" s="5" t="str">
        <f>IF($A47="","",IFERROR(VLOOKUP($A47,Sheet1!$A:$AN,23,0),""))</f>
        <v/>
      </c>
      <c r="X47" s="5" t="str">
        <f>IF($A47="","",IFERROR(VLOOKUP($A47,Sheet1!$A:$AN,24,0),""))</f>
        <v/>
      </c>
      <c r="Y47" s="5" t="str">
        <f>IF($A47="","",IFERROR(VLOOKUP($A47,Sheet1!$A:$AN,25,0),""))</f>
        <v/>
      </c>
      <c r="AK47" s="5" t="str">
        <f>IF($A47="","",IFERROR(VLOOKUP($A47,Sheet1!$A:$AN,37,0),""))</f>
        <v/>
      </c>
      <c r="AL47" s="13" t="str">
        <f>IF($A47="","",IFERROR(VLOOKUP($A47,Sheet1!$A:$AN,38,0),""))</f>
        <v/>
      </c>
      <c r="AM47" s="13" t="str">
        <f>IF($A47="","",IFERROR(VLOOKUP($A47,Sheet1!$A:$AN,39,0),""))</f>
        <v/>
      </c>
      <c r="AN47" s="13" t="str">
        <f>IF($A47="","",IFERROR(VLOOKUP($A47,Sheet1!$A:$AN,40,0),""))</f>
        <v/>
      </c>
    </row>
    <row r="48" customHeight="1" spans="1:40">
      <c r="A48" s="5" t="str">
        <f>IF(Sheet1!$A48="","",Sheet1!$A48)</f>
        <v/>
      </c>
      <c r="B48" s="5" t="str">
        <f t="shared" si="0"/>
        <v/>
      </c>
      <c r="C48" s="5" t="str">
        <f>IF($A48="","",IFERROR(VLOOKUP($A48,Sheet1!$A:$AN,3,0),""))</f>
        <v/>
      </c>
      <c r="D48" s="5" t="str">
        <f t="shared" si="4"/>
        <v/>
      </c>
      <c r="I48" s="5" t="str">
        <f t="shared" si="1"/>
        <v/>
      </c>
      <c r="L48" s="12"/>
      <c r="M48" s="5" t="str">
        <f t="shared" si="2"/>
        <v/>
      </c>
      <c r="R48" s="5" t="str">
        <f>IF($A48="","",IFERROR(VLOOKUP($A48,Sheet1!A:AN,18,0),""))</f>
        <v/>
      </c>
      <c r="S48" s="5" t="str">
        <f>IF($A48="","",IFERROR(VLOOKUP($A48,Sheet1!$A:$AN,19,0),""))</f>
        <v/>
      </c>
      <c r="T48" s="5" t="str">
        <f t="shared" si="3"/>
        <v/>
      </c>
      <c r="U48" s="5" t="str">
        <f>IF($A48="","",IFERROR(VLOOKUP($A48,Sheet1!$A:$AN,21,0),""))</f>
        <v/>
      </c>
      <c r="V48" s="5" t="str">
        <f>IF($A48="","",IFERROR(SUBSTITUTE(VLOOKUP($A48,Sheet1!$A:$AN,22,0),"族",""),""))</f>
        <v/>
      </c>
      <c r="W48" s="5" t="str">
        <f>IF($A48="","",IFERROR(VLOOKUP($A48,Sheet1!$A:$AN,23,0),""))</f>
        <v/>
      </c>
      <c r="X48" s="5" t="str">
        <f>IF($A48="","",IFERROR(VLOOKUP($A48,Sheet1!$A:$AN,24,0),""))</f>
        <v/>
      </c>
      <c r="Y48" s="5" t="str">
        <f>IF($A48="","",IFERROR(VLOOKUP($A48,Sheet1!$A:$AN,25,0),""))</f>
        <v/>
      </c>
      <c r="AK48" s="5" t="str">
        <f>IF($A48="","",IFERROR(VLOOKUP($A48,Sheet1!$A:$AN,37,0),""))</f>
        <v/>
      </c>
      <c r="AL48" s="13" t="str">
        <f>IF($A48="","",IFERROR(VLOOKUP($A48,Sheet1!$A:$AN,38,0),""))</f>
        <v/>
      </c>
      <c r="AM48" s="13" t="str">
        <f>IF($A48="","",IFERROR(VLOOKUP($A48,Sheet1!$A:$AN,39,0),""))</f>
        <v/>
      </c>
      <c r="AN48" s="13" t="str">
        <f>IF($A48="","",IFERROR(VLOOKUP($A48,Sheet1!$A:$AN,40,0),""))</f>
        <v/>
      </c>
    </row>
    <row r="49" customHeight="1" spans="1:40">
      <c r="A49" s="5" t="str">
        <f>IF(Sheet1!$A49="","",Sheet1!$A49)</f>
        <v/>
      </c>
      <c r="B49" s="5" t="str">
        <f t="shared" si="0"/>
        <v/>
      </c>
      <c r="C49" s="5" t="str">
        <f>IF($A49="","",IFERROR(VLOOKUP($A49,Sheet1!$A:$AN,3,0),""))</f>
        <v/>
      </c>
      <c r="D49" s="5" t="str">
        <f t="shared" si="4"/>
        <v/>
      </c>
      <c r="I49" s="5" t="str">
        <f t="shared" si="1"/>
        <v/>
      </c>
      <c r="L49" s="12"/>
      <c r="M49" s="5" t="str">
        <f t="shared" si="2"/>
        <v/>
      </c>
      <c r="R49" s="5" t="str">
        <f>IF($A49="","",IFERROR(VLOOKUP($A49,Sheet1!A:AN,18,0),""))</f>
        <v/>
      </c>
      <c r="S49" s="5" t="str">
        <f>IF($A49="","",IFERROR(VLOOKUP($A49,Sheet1!$A:$AN,19,0),""))</f>
        <v/>
      </c>
      <c r="T49" s="5" t="str">
        <f t="shared" si="3"/>
        <v/>
      </c>
      <c r="U49" s="5" t="str">
        <f>IF($A49="","",IFERROR(VLOOKUP($A49,Sheet1!$A:$AN,21,0),""))</f>
        <v/>
      </c>
      <c r="V49" s="5" t="str">
        <f>IF($A49="","",IFERROR(SUBSTITUTE(VLOOKUP($A49,Sheet1!$A:$AN,22,0),"族",""),""))</f>
        <v/>
      </c>
      <c r="W49" s="5" t="str">
        <f>IF($A49="","",IFERROR(VLOOKUP($A49,Sheet1!$A:$AN,23,0),""))</f>
        <v/>
      </c>
      <c r="X49" s="5" t="str">
        <f>IF($A49="","",IFERROR(VLOOKUP($A49,Sheet1!$A:$AN,24,0),""))</f>
        <v/>
      </c>
      <c r="Y49" s="5" t="str">
        <f>IF($A49="","",IFERROR(VLOOKUP($A49,Sheet1!$A:$AN,25,0),""))</f>
        <v/>
      </c>
      <c r="AK49" s="5" t="str">
        <f>IF($A49="","",IFERROR(VLOOKUP($A49,Sheet1!$A:$AN,37,0),""))</f>
        <v/>
      </c>
      <c r="AL49" s="13" t="str">
        <f>IF($A49="","",IFERROR(VLOOKUP($A49,Sheet1!$A:$AN,38,0),""))</f>
        <v/>
      </c>
      <c r="AM49" s="13" t="str">
        <f>IF($A49="","",IFERROR(VLOOKUP($A49,Sheet1!$A:$AN,39,0),""))</f>
        <v/>
      </c>
      <c r="AN49" s="13" t="str">
        <f>IF($A49="","",IFERROR(VLOOKUP($A49,Sheet1!$A:$AN,40,0),""))</f>
        <v/>
      </c>
    </row>
    <row r="50" customHeight="1" spans="1:40">
      <c r="A50" s="5" t="str">
        <f>IF(Sheet1!$A50="","",Sheet1!$A50)</f>
        <v/>
      </c>
      <c r="B50" s="5" t="str">
        <f t="shared" si="0"/>
        <v/>
      </c>
      <c r="C50" s="5" t="str">
        <f>IF($A50="","",IFERROR(VLOOKUP($A50,Sheet1!$A:$AN,3,0),""))</f>
        <v/>
      </c>
      <c r="D50" s="5" t="str">
        <f t="shared" si="4"/>
        <v/>
      </c>
      <c r="I50" s="5" t="str">
        <f t="shared" si="1"/>
        <v/>
      </c>
      <c r="L50" s="12"/>
      <c r="M50" s="5" t="str">
        <f t="shared" si="2"/>
        <v/>
      </c>
      <c r="R50" s="5" t="str">
        <f>IF($A50="","",IFERROR(VLOOKUP($A50,Sheet1!A:AN,18,0),""))</f>
        <v/>
      </c>
      <c r="S50" s="5" t="str">
        <f>IF($A50="","",IFERROR(VLOOKUP($A50,Sheet1!$A:$AN,19,0),""))</f>
        <v/>
      </c>
      <c r="T50" s="5" t="str">
        <f t="shared" si="3"/>
        <v/>
      </c>
      <c r="U50" s="5" t="str">
        <f>IF($A50="","",IFERROR(VLOOKUP($A50,Sheet1!$A:$AN,21,0),""))</f>
        <v/>
      </c>
      <c r="V50" s="5" t="str">
        <f>IF($A50="","",IFERROR(SUBSTITUTE(VLOOKUP($A50,Sheet1!$A:$AN,22,0),"族",""),""))</f>
        <v/>
      </c>
      <c r="W50" s="5" t="str">
        <f>IF($A50="","",IFERROR(VLOOKUP($A50,Sheet1!$A:$AN,23,0),""))</f>
        <v/>
      </c>
      <c r="X50" s="5" t="str">
        <f>IF($A50="","",IFERROR(VLOOKUP($A50,Sheet1!$A:$AN,24,0),""))</f>
        <v/>
      </c>
      <c r="Y50" s="5" t="str">
        <f>IF($A50="","",IFERROR(VLOOKUP($A50,Sheet1!$A:$AN,25,0),""))</f>
        <v/>
      </c>
      <c r="AK50" s="5" t="str">
        <f>IF($A50="","",IFERROR(VLOOKUP($A50,Sheet1!$A:$AN,37,0),""))</f>
        <v/>
      </c>
      <c r="AL50" s="13" t="str">
        <f>IF($A50="","",IFERROR(VLOOKUP($A50,Sheet1!$A:$AN,38,0),""))</f>
        <v/>
      </c>
      <c r="AM50" s="13" t="str">
        <f>IF($A50="","",IFERROR(VLOOKUP($A50,Sheet1!$A:$AN,39,0),""))</f>
        <v/>
      </c>
      <c r="AN50" s="13" t="str">
        <f>IF($A50="","",IFERROR(VLOOKUP($A50,Sheet1!$A:$AN,40,0),""))</f>
        <v/>
      </c>
    </row>
    <row r="51" customHeight="1" spans="1:40">
      <c r="A51" s="5" t="str">
        <f>IF(Sheet1!$A51="","",Sheet1!$A51)</f>
        <v/>
      </c>
      <c r="B51" s="5" t="str">
        <f t="shared" si="0"/>
        <v/>
      </c>
      <c r="C51" s="5" t="str">
        <f>IF($A51="","",IFERROR(VLOOKUP($A51,Sheet1!$A:$AN,3,0),""))</f>
        <v/>
      </c>
      <c r="D51" s="5" t="str">
        <f t="shared" si="4"/>
        <v/>
      </c>
      <c r="I51" s="5" t="str">
        <f t="shared" si="1"/>
        <v/>
      </c>
      <c r="L51" s="12"/>
      <c r="M51" s="5" t="str">
        <f t="shared" si="2"/>
        <v/>
      </c>
      <c r="R51" s="5" t="str">
        <f>IF($A51="","",IFERROR(VLOOKUP($A51,Sheet1!A:AN,18,0),""))</f>
        <v/>
      </c>
      <c r="S51" s="5" t="str">
        <f>IF($A51="","",IFERROR(VLOOKUP($A51,Sheet1!$A:$AN,19,0),""))</f>
        <v/>
      </c>
      <c r="T51" s="5" t="str">
        <f t="shared" si="3"/>
        <v/>
      </c>
      <c r="U51" s="5" t="str">
        <f>IF($A51="","",IFERROR(VLOOKUP($A51,Sheet1!$A:$AN,21,0),""))</f>
        <v/>
      </c>
      <c r="V51" s="5" t="str">
        <f>IF($A51="","",IFERROR(SUBSTITUTE(VLOOKUP($A51,Sheet1!$A:$AN,22,0),"族",""),""))</f>
        <v/>
      </c>
      <c r="W51" s="5" t="str">
        <f>IF($A51="","",IFERROR(VLOOKUP($A51,Sheet1!$A:$AN,23,0),""))</f>
        <v/>
      </c>
      <c r="X51" s="5" t="str">
        <f>IF($A51="","",IFERROR(VLOOKUP($A51,Sheet1!$A:$AN,24,0),""))</f>
        <v/>
      </c>
      <c r="Y51" s="5" t="str">
        <f>IF($A51="","",IFERROR(VLOOKUP($A51,Sheet1!$A:$AN,25,0),""))</f>
        <v/>
      </c>
      <c r="AK51" s="5" t="str">
        <f>IF($A51="","",IFERROR(VLOOKUP($A51,Sheet1!$A:$AN,37,0),""))</f>
        <v/>
      </c>
      <c r="AL51" s="13" t="str">
        <f>IF($A51="","",IFERROR(VLOOKUP($A51,Sheet1!$A:$AN,38,0),""))</f>
        <v/>
      </c>
      <c r="AM51" s="13" t="str">
        <f>IF($A51="","",IFERROR(VLOOKUP($A51,Sheet1!$A:$AN,39,0),""))</f>
        <v/>
      </c>
      <c r="AN51" s="13" t="str">
        <f>IF($A51="","",IFERROR(VLOOKUP($A51,Sheet1!$A:$AN,40,0),""))</f>
        <v/>
      </c>
    </row>
    <row r="52" customHeight="1" spans="1:40">
      <c r="A52" s="5" t="str">
        <f>IF(Sheet1!$A52="","",Sheet1!$A52)</f>
        <v/>
      </c>
      <c r="B52" s="5" t="str">
        <f t="shared" si="0"/>
        <v/>
      </c>
      <c r="C52" s="5" t="str">
        <f>IF($A52="","",IFERROR(VLOOKUP($A52,Sheet1!$A:$AN,3,0),""))</f>
        <v/>
      </c>
      <c r="D52" s="5" t="str">
        <f t="shared" si="4"/>
        <v/>
      </c>
      <c r="I52" s="5" t="str">
        <f t="shared" si="1"/>
        <v/>
      </c>
      <c r="L52" s="12"/>
      <c r="M52" s="5" t="str">
        <f t="shared" si="2"/>
        <v/>
      </c>
      <c r="R52" s="5" t="str">
        <f>IF($A52="","",IFERROR(VLOOKUP($A52,Sheet1!A:AN,18,0),""))</f>
        <v/>
      </c>
      <c r="S52" s="5" t="str">
        <f>IF($A52="","",IFERROR(VLOOKUP($A52,Sheet1!$A:$AN,19,0),""))</f>
        <v/>
      </c>
      <c r="T52" s="5" t="str">
        <f t="shared" si="3"/>
        <v/>
      </c>
      <c r="U52" s="5" t="str">
        <f>IF($A52="","",IFERROR(VLOOKUP($A52,Sheet1!$A:$AN,21,0),""))</f>
        <v/>
      </c>
      <c r="V52" s="5" t="str">
        <f>IF($A52="","",IFERROR(SUBSTITUTE(VLOOKUP($A52,Sheet1!$A:$AN,22,0),"族",""),""))</f>
        <v/>
      </c>
      <c r="W52" s="5" t="str">
        <f>IF($A52="","",IFERROR(VLOOKUP($A52,Sheet1!$A:$AN,23,0),""))</f>
        <v/>
      </c>
      <c r="X52" s="5" t="str">
        <f>IF($A52="","",IFERROR(VLOOKUP($A52,Sheet1!$A:$AN,24,0),""))</f>
        <v/>
      </c>
      <c r="Y52" s="5" t="str">
        <f>IF($A52="","",IFERROR(VLOOKUP($A52,Sheet1!$A:$AN,25,0),""))</f>
        <v/>
      </c>
      <c r="AK52" s="5" t="str">
        <f>IF($A52="","",IFERROR(VLOOKUP($A52,Sheet1!$A:$AN,37,0),""))</f>
        <v/>
      </c>
      <c r="AL52" s="13" t="str">
        <f>IF($A52="","",IFERROR(VLOOKUP($A52,Sheet1!$A:$AN,38,0),""))</f>
        <v/>
      </c>
      <c r="AM52" s="13" t="str">
        <f>IF($A52="","",IFERROR(VLOOKUP($A52,Sheet1!$A:$AN,39,0),""))</f>
        <v/>
      </c>
      <c r="AN52" s="13" t="str">
        <f>IF($A52="","",IFERROR(VLOOKUP($A52,Sheet1!$A:$AN,40,0),""))</f>
        <v/>
      </c>
    </row>
    <row r="53" customHeight="1" spans="1:40">
      <c r="A53" s="5" t="str">
        <f>IF(Sheet1!$A53="","",Sheet1!$A53)</f>
        <v/>
      </c>
      <c r="B53" s="5" t="str">
        <f t="shared" si="0"/>
        <v/>
      </c>
      <c r="C53" s="5" t="str">
        <f>IF($A53="","",IFERROR(VLOOKUP($A53,Sheet1!$A:$AN,3,0),""))</f>
        <v/>
      </c>
      <c r="D53" s="5" t="str">
        <f t="shared" si="4"/>
        <v/>
      </c>
      <c r="I53" s="5" t="str">
        <f t="shared" si="1"/>
        <v/>
      </c>
      <c r="L53" s="12"/>
      <c r="M53" s="5" t="str">
        <f t="shared" si="2"/>
        <v/>
      </c>
      <c r="R53" s="5" t="str">
        <f>IF($A53="","",IFERROR(VLOOKUP($A53,Sheet1!A:AN,18,0),""))</f>
        <v/>
      </c>
      <c r="S53" s="5" t="str">
        <f>IF($A53="","",IFERROR(VLOOKUP($A53,Sheet1!$A:$AN,19,0),""))</f>
        <v/>
      </c>
      <c r="T53" s="5" t="str">
        <f t="shared" si="3"/>
        <v/>
      </c>
      <c r="U53" s="5" t="str">
        <f>IF($A53="","",IFERROR(VLOOKUP($A53,Sheet1!$A:$AN,21,0),""))</f>
        <v/>
      </c>
      <c r="V53" s="5" t="str">
        <f>IF($A53="","",IFERROR(SUBSTITUTE(VLOOKUP($A53,Sheet1!$A:$AN,22,0),"族",""),""))</f>
        <v/>
      </c>
      <c r="W53" s="5" t="str">
        <f>IF($A53="","",IFERROR(VLOOKUP($A53,Sheet1!$A:$AN,23,0),""))</f>
        <v/>
      </c>
      <c r="X53" s="5" t="str">
        <f>IF($A53="","",IFERROR(VLOOKUP($A53,Sheet1!$A:$AN,24,0),""))</f>
        <v/>
      </c>
      <c r="Y53" s="5" t="str">
        <f>IF($A53="","",IFERROR(VLOOKUP($A53,Sheet1!$A:$AN,25,0),""))</f>
        <v/>
      </c>
      <c r="AK53" s="5" t="str">
        <f>IF($A53="","",IFERROR(VLOOKUP($A53,Sheet1!$A:$AN,37,0),""))</f>
        <v/>
      </c>
      <c r="AL53" s="13" t="str">
        <f>IF($A53="","",IFERROR(VLOOKUP($A53,Sheet1!$A:$AN,38,0),""))</f>
        <v/>
      </c>
      <c r="AM53" s="13" t="str">
        <f>IF($A53="","",IFERROR(VLOOKUP($A53,Sheet1!$A:$AN,39,0),""))</f>
        <v/>
      </c>
      <c r="AN53" s="13" t="str">
        <f>IF($A53="","",IFERROR(VLOOKUP($A53,Sheet1!$A:$AN,40,0),""))</f>
        <v/>
      </c>
    </row>
    <row r="54" customHeight="1" spans="1:40">
      <c r="A54" s="5" t="str">
        <f>IF(Sheet1!$A54="","",Sheet1!$A54)</f>
        <v/>
      </c>
      <c r="B54" s="5" t="str">
        <f t="shared" si="0"/>
        <v/>
      </c>
      <c r="C54" s="5" t="str">
        <f>IF($A54="","",IFERROR(VLOOKUP($A54,Sheet1!$A:$AN,3,0),""))</f>
        <v/>
      </c>
      <c r="D54" s="5" t="str">
        <f t="shared" si="4"/>
        <v/>
      </c>
      <c r="I54" s="5" t="str">
        <f t="shared" si="1"/>
        <v/>
      </c>
      <c r="L54" s="12"/>
      <c r="M54" s="5" t="str">
        <f t="shared" si="2"/>
        <v/>
      </c>
      <c r="R54" s="5" t="str">
        <f>IF($A54="","",IFERROR(VLOOKUP($A54,Sheet1!A:AN,18,0),""))</f>
        <v/>
      </c>
      <c r="S54" s="5" t="str">
        <f>IF($A54="","",IFERROR(VLOOKUP($A54,Sheet1!$A:$AN,19,0),""))</f>
        <v/>
      </c>
      <c r="T54" s="5" t="str">
        <f t="shared" si="3"/>
        <v/>
      </c>
      <c r="U54" s="5" t="str">
        <f>IF($A54="","",IFERROR(VLOOKUP($A54,Sheet1!$A:$AN,21,0),""))</f>
        <v/>
      </c>
      <c r="V54" s="5" t="str">
        <f>IF($A54="","",IFERROR(SUBSTITUTE(VLOOKUP($A54,Sheet1!$A:$AN,22,0),"族",""),""))</f>
        <v/>
      </c>
      <c r="W54" s="5" t="str">
        <f>IF($A54="","",IFERROR(VLOOKUP($A54,Sheet1!$A:$AN,23,0),""))</f>
        <v/>
      </c>
      <c r="X54" s="5" t="str">
        <f>IF($A54="","",IFERROR(VLOOKUP($A54,Sheet1!$A:$AN,24,0),""))</f>
        <v/>
      </c>
      <c r="Y54" s="5" t="str">
        <f>IF($A54="","",IFERROR(VLOOKUP($A54,Sheet1!$A:$AN,25,0),""))</f>
        <v/>
      </c>
      <c r="AK54" s="5" t="str">
        <f>IF($A54="","",IFERROR(VLOOKUP($A54,Sheet1!$A:$AN,37,0),""))</f>
        <v/>
      </c>
      <c r="AL54" s="13" t="str">
        <f>IF($A54="","",IFERROR(VLOOKUP($A54,Sheet1!$A:$AN,38,0),""))</f>
        <v/>
      </c>
      <c r="AM54" s="13" t="str">
        <f>IF($A54="","",IFERROR(VLOOKUP($A54,Sheet1!$A:$AN,39,0),""))</f>
        <v/>
      </c>
      <c r="AN54" s="13" t="str">
        <f>IF($A54="","",IFERROR(VLOOKUP($A54,Sheet1!$A:$AN,40,0),""))</f>
        <v/>
      </c>
    </row>
    <row r="55" customHeight="1" spans="1:40">
      <c r="A55" s="5" t="str">
        <f>IF(Sheet1!$A55="","",Sheet1!$A55)</f>
        <v/>
      </c>
      <c r="B55" s="5" t="str">
        <f t="shared" si="0"/>
        <v/>
      </c>
      <c r="C55" s="5" t="str">
        <f>IF($A55="","",IFERROR(VLOOKUP($A55,Sheet1!$A:$AN,3,0),""))</f>
        <v/>
      </c>
      <c r="D55" s="5" t="str">
        <f t="shared" si="4"/>
        <v/>
      </c>
      <c r="I55" s="5" t="str">
        <f t="shared" si="1"/>
        <v/>
      </c>
      <c r="L55" s="12"/>
      <c r="M55" s="5" t="str">
        <f t="shared" si="2"/>
        <v/>
      </c>
      <c r="R55" s="5" t="str">
        <f>IF($A55="","",IFERROR(VLOOKUP($A55,Sheet1!A:AN,18,0),""))</f>
        <v/>
      </c>
      <c r="S55" s="5" t="str">
        <f>IF($A55="","",IFERROR(VLOOKUP($A55,Sheet1!$A:$AN,19,0),""))</f>
        <v/>
      </c>
      <c r="T55" s="5" t="str">
        <f t="shared" si="3"/>
        <v/>
      </c>
      <c r="U55" s="5" t="str">
        <f>IF($A55="","",IFERROR(VLOOKUP($A55,Sheet1!$A:$AN,21,0),""))</f>
        <v/>
      </c>
      <c r="V55" s="5" t="str">
        <f>IF($A55="","",IFERROR(SUBSTITUTE(VLOOKUP($A55,Sheet1!$A:$AN,22,0),"族",""),""))</f>
        <v/>
      </c>
      <c r="W55" s="5" t="str">
        <f>IF($A55="","",IFERROR(VLOOKUP($A55,Sheet1!$A:$AN,23,0),""))</f>
        <v/>
      </c>
      <c r="X55" s="5" t="str">
        <f>IF($A55="","",IFERROR(VLOOKUP($A55,Sheet1!$A:$AN,24,0),""))</f>
        <v/>
      </c>
      <c r="Y55" s="5" t="str">
        <f>IF($A55="","",IFERROR(VLOOKUP($A55,Sheet1!$A:$AN,25,0),""))</f>
        <v/>
      </c>
      <c r="AK55" s="5" t="str">
        <f>IF($A55="","",IFERROR(VLOOKUP($A55,Sheet1!$A:$AN,37,0),""))</f>
        <v/>
      </c>
      <c r="AL55" s="13" t="str">
        <f>IF($A55="","",IFERROR(VLOOKUP($A55,Sheet1!$A:$AN,38,0),""))</f>
        <v/>
      </c>
      <c r="AM55" s="13" t="str">
        <f>IF($A55="","",IFERROR(VLOOKUP($A55,Sheet1!$A:$AN,39,0),""))</f>
        <v/>
      </c>
      <c r="AN55" s="13" t="str">
        <f>IF($A55="","",IFERROR(VLOOKUP($A55,Sheet1!$A:$AN,40,0),""))</f>
        <v/>
      </c>
    </row>
    <row r="56" customHeight="1" spans="1:40">
      <c r="A56" s="5" t="str">
        <f>IF(Sheet1!$A56="","",Sheet1!$A56)</f>
        <v/>
      </c>
      <c r="B56" s="5" t="str">
        <f t="shared" si="0"/>
        <v/>
      </c>
      <c r="C56" s="5" t="str">
        <f>IF($A56="","",IFERROR(VLOOKUP($A56,Sheet1!$A:$AN,3,0),""))</f>
        <v/>
      </c>
      <c r="D56" s="5" t="str">
        <f t="shared" si="4"/>
        <v/>
      </c>
      <c r="I56" s="5" t="str">
        <f t="shared" si="1"/>
        <v/>
      </c>
      <c r="L56" s="12"/>
      <c r="M56" s="5" t="str">
        <f t="shared" si="2"/>
        <v/>
      </c>
      <c r="R56" s="5" t="str">
        <f>IF($A56="","",IFERROR(VLOOKUP($A56,Sheet1!A:AN,18,0),""))</f>
        <v/>
      </c>
      <c r="S56" s="5" t="str">
        <f>IF($A56="","",IFERROR(VLOOKUP($A56,Sheet1!$A:$AN,19,0),""))</f>
        <v/>
      </c>
      <c r="T56" s="5" t="str">
        <f t="shared" si="3"/>
        <v/>
      </c>
      <c r="U56" s="5" t="str">
        <f>IF($A56="","",IFERROR(VLOOKUP($A56,Sheet1!$A:$AN,21,0),""))</f>
        <v/>
      </c>
      <c r="V56" s="5" t="str">
        <f>IF($A56="","",IFERROR(SUBSTITUTE(VLOOKUP($A56,Sheet1!$A:$AN,22,0),"族",""),""))</f>
        <v/>
      </c>
      <c r="W56" s="5" t="str">
        <f>IF($A56="","",IFERROR(VLOOKUP($A56,Sheet1!$A:$AN,23,0),""))</f>
        <v/>
      </c>
      <c r="X56" s="5" t="str">
        <f>IF($A56="","",IFERROR(VLOOKUP($A56,Sheet1!$A:$AN,24,0),""))</f>
        <v/>
      </c>
      <c r="Y56" s="5" t="str">
        <f>IF($A56="","",IFERROR(VLOOKUP($A56,Sheet1!$A:$AN,25,0),""))</f>
        <v/>
      </c>
      <c r="AK56" s="5" t="str">
        <f>IF($A56="","",IFERROR(VLOOKUP($A56,Sheet1!$A:$AN,37,0),""))</f>
        <v/>
      </c>
      <c r="AL56" s="13" t="str">
        <f>IF($A56="","",IFERROR(VLOOKUP($A56,Sheet1!$A:$AN,38,0),""))</f>
        <v/>
      </c>
      <c r="AM56" s="13" t="str">
        <f>IF($A56="","",IFERROR(VLOOKUP($A56,Sheet1!$A:$AN,39,0),""))</f>
        <v/>
      </c>
      <c r="AN56" s="13" t="str">
        <f>IF($A56="","",IFERROR(VLOOKUP($A56,Sheet1!$A:$AN,40,0),""))</f>
        <v/>
      </c>
    </row>
    <row r="57" customHeight="1" spans="1:40">
      <c r="A57" s="5" t="str">
        <f>IF(Sheet1!$A57="","",Sheet1!$A57)</f>
        <v/>
      </c>
      <c r="B57" s="5" t="str">
        <f t="shared" si="0"/>
        <v/>
      </c>
      <c r="C57" s="5" t="str">
        <f>IF($A57="","",IFERROR(VLOOKUP($A57,Sheet1!$A:$AN,3,0),""))</f>
        <v/>
      </c>
      <c r="D57" s="5" t="str">
        <f t="shared" si="4"/>
        <v/>
      </c>
      <c r="I57" s="5" t="str">
        <f t="shared" si="1"/>
        <v/>
      </c>
      <c r="L57" s="12"/>
      <c r="M57" s="5" t="str">
        <f t="shared" si="2"/>
        <v/>
      </c>
      <c r="R57" s="5" t="str">
        <f>IF($A57="","",IFERROR(VLOOKUP($A57,Sheet1!A:AN,18,0),""))</f>
        <v/>
      </c>
      <c r="S57" s="5" t="str">
        <f>IF($A57="","",IFERROR(VLOOKUP($A57,Sheet1!$A:$AN,19,0),""))</f>
        <v/>
      </c>
      <c r="T57" s="5" t="str">
        <f t="shared" si="3"/>
        <v/>
      </c>
      <c r="U57" s="5" t="str">
        <f>IF($A57="","",IFERROR(VLOOKUP($A57,Sheet1!$A:$AN,21,0),""))</f>
        <v/>
      </c>
      <c r="V57" s="5" t="str">
        <f>IF($A57="","",IFERROR(SUBSTITUTE(VLOOKUP($A57,Sheet1!$A:$AN,22,0),"族",""),""))</f>
        <v/>
      </c>
      <c r="W57" s="5" t="str">
        <f>IF($A57="","",IFERROR(VLOOKUP($A57,Sheet1!$A:$AN,23,0),""))</f>
        <v/>
      </c>
      <c r="X57" s="5" t="str">
        <f>IF($A57="","",IFERROR(VLOOKUP($A57,Sheet1!$A:$AN,24,0),""))</f>
        <v/>
      </c>
      <c r="Y57" s="5" t="str">
        <f>IF($A57="","",IFERROR(VLOOKUP($A57,Sheet1!$A:$AN,25,0),""))</f>
        <v/>
      </c>
      <c r="AK57" s="5" t="str">
        <f>IF($A57="","",IFERROR(VLOOKUP($A57,Sheet1!$A:$AN,37,0),""))</f>
        <v/>
      </c>
      <c r="AL57" s="13" t="str">
        <f>IF($A57="","",IFERROR(VLOOKUP($A57,Sheet1!$A:$AN,38,0),""))</f>
        <v/>
      </c>
      <c r="AM57" s="13" t="str">
        <f>IF($A57="","",IFERROR(VLOOKUP($A57,Sheet1!$A:$AN,39,0),""))</f>
        <v/>
      </c>
      <c r="AN57" s="13" t="str">
        <f>IF($A57="","",IFERROR(VLOOKUP($A57,Sheet1!$A:$AN,40,0),""))</f>
        <v/>
      </c>
    </row>
    <row r="58" customHeight="1" spans="1:40">
      <c r="A58" s="5" t="str">
        <f>IF(Sheet1!$A58="","",Sheet1!$A58)</f>
        <v/>
      </c>
      <c r="B58" s="5" t="str">
        <f t="shared" si="0"/>
        <v/>
      </c>
      <c r="C58" s="5" t="str">
        <f>IF($A58="","",IFERROR(VLOOKUP($A58,Sheet1!$A:$AN,3,0),""))</f>
        <v/>
      </c>
      <c r="D58" s="5" t="str">
        <f t="shared" si="4"/>
        <v/>
      </c>
      <c r="I58" s="5" t="str">
        <f t="shared" si="1"/>
        <v/>
      </c>
      <c r="L58" s="12"/>
      <c r="M58" s="5" t="str">
        <f t="shared" si="2"/>
        <v/>
      </c>
      <c r="R58" s="5" t="str">
        <f>IF($A58="","",IFERROR(VLOOKUP($A58,Sheet1!A:AN,18,0),""))</f>
        <v/>
      </c>
      <c r="S58" s="5" t="str">
        <f>IF($A58="","",IFERROR(VLOOKUP($A58,Sheet1!$A:$AN,19,0),""))</f>
        <v/>
      </c>
      <c r="T58" s="5" t="str">
        <f t="shared" si="3"/>
        <v/>
      </c>
      <c r="U58" s="5" t="str">
        <f>IF($A58="","",IFERROR(VLOOKUP($A58,Sheet1!$A:$AN,21,0),""))</f>
        <v/>
      </c>
      <c r="V58" s="5" t="str">
        <f>IF($A58="","",IFERROR(SUBSTITUTE(VLOOKUP($A58,Sheet1!$A:$AN,22,0),"族",""),""))</f>
        <v/>
      </c>
      <c r="W58" s="5" t="str">
        <f>IF($A58="","",IFERROR(VLOOKUP($A58,Sheet1!$A:$AN,23,0),""))</f>
        <v/>
      </c>
      <c r="X58" s="5" t="str">
        <f>IF($A58="","",IFERROR(VLOOKUP($A58,Sheet1!$A:$AN,24,0),""))</f>
        <v/>
      </c>
      <c r="Y58" s="5" t="str">
        <f>IF($A58="","",IFERROR(VLOOKUP($A58,Sheet1!$A:$AN,25,0),""))</f>
        <v/>
      </c>
      <c r="AK58" s="5" t="str">
        <f>IF($A58="","",IFERROR(VLOOKUP($A58,Sheet1!$A:$AN,37,0),""))</f>
        <v/>
      </c>
      <c r="AL58" s="13" t="str">
        <f>IF($A58="","",IFERROR(VLOOKUP($A58,Sheet1!$A:$AN,38,0),""))</f>
        <v/>
      </c>
      <c r="AM58" s="13" t="str">
        <f>IF($A58="","",IFERROR(VLOOKUP($A58,Sheet1!$A:$AN,39,0),""))</f>
        <v/>
      </c>
      <c r="AN58" s="13" t="str">
        <f>IF($A58="","",IFERROR(VLOOKUP($A58,Sheet1!$A:$AN,40,0),""))</f>
        <v/>
      </c>
    </row>
    <row r="59" customHeight="1" spans="1:40">
      <c r="A59" s="5" t="str">
        <f>IF(Sheet1!$A59="","",Sheet1!$A59)</f>
        <v/>
      </c>
      <c r="B59" s="5" t="str">
        <f t="shared" si="0"/>
        <v/>
      </c>
      <c r="C59" s="5" t="str">
        <f>IF($A59="","",IFERROR(VLOOKUP($A59,Sheet1!$A:$AN,3,0),""))</f>
        <v/>
      </c>
      <c r="D59" s="5" t="str">
        <f t="shared" si="4"/>
        <v/>
      </c>
      <c r="I59" s="5" t="str">
        <f t="shared" si="1"/>
        <v/>
      </c>
      <c r="L59" s="12"/>
      <c r="M59" s="5" t="str">
        <f t="shared" si="2"/>
        <v/>
      </c>
      <c r="R59" s="5" t="str">
        <f>IF($A59="","",IFERROR(VLOOKUP($A59,Sheet1!A:AN,18,0),""))</f>
        <v/>
      </c>
      <c r="S59" s="5" t="str">
        <f>IF($A59="","",IFERROR(VLOOKUP($A59,Sheet1!$A:$AN,19,0),""))</f>
        <v/>
      </c>
      <c r="T59" s="5" t="str">
        <f t="shared" si="3"/>
        <v/>
      </c>
      <c r="U59" s="5" t="str">
        <f>IF($A59="","",IFERROR(VLOOKUP($A59,Sheet1!$A:$AN,21,0),""))</f>
        <v/>
      </c>
      <c r="V59" s="5" t="str">
        <f>IF($A59="","",IFERROR(SUBSTITUTE(VLOOKUP($A59,Sheet1!$A:$AN,22,0),"族",""),""))</f>
        <v/>
      </c>
      <c r="W59" s="5" t="str">
        <f>IF($A59="","",IFERROR(VLOOKUP($A59,Sheet1!$A:$AN,23,0),""))</f>
        <v/>
      </c>
      <c r="X59" s="5" t="str">
        <f>IF($A59="","",IFERROR(VLOOKUP($A59,Sheet1!$A:$AN,24,0),""))</f>
        <v/>
      </c>
      <c r="Y59" s="5" t="str">
        <f>IF($A59="","",IFERROR(VLOOKUP($A59,Sheet1!$A:$AN,25,0),""))</f>
        <v/>
      </c>
      <c r="AK59" s="5" t="str">
        <f>IF($A59="","",IFERROR(VLOOKUP($A59,Sheet1!$A:$AN,37,0),""))</f>
        <v/>
      </c>
      <c r="AL59" s="13" t="str">
        <f>IF($A59="","",IFERROR(VLOOKUP($A59,Sheet1!$A:$AN,38,0),""))</f>
        <v/>
      </c>
      <c r="AM59" s="13" t="str">
        <f>IF($A59="","",IFERROR(VLOOKUP($A59,Sheet1!$A:$AN,39,0),""))</f>
        <v/>
      </c>
      <c r="AN59" s="13" t="str">
        <f>IF($A59="","",IFERROR(VLOOKUP($A59,Sheet1!$A:$AN,40,0),""))</f>
        <v/>
      </c>
    </row>
    <row r="60" customHeight="1" spans="1:40">
      <c r="A60" s="5" t="str">
        <f>IF(Sheet1!$A60="","",Sheet1!$A60)</f>
        <v/>
      </c>
      <c r="B60" s="5" t="str">
        <f t="shared" si="0"/>
        <v/>
      </c>
      <c r="C60" s="5" t="str">
        <f>IF($A60="","",IFERROR(VLOOKUP($A60,Sheet1!$A:$AN,3,0),""))</f>
        <v/>
      </c>
      <c r="D60" s="5" t="str">
        <f t="shared" si="4"/>
        <v/>
      </c>
      <c r="I60" s="5" t="str">
        <f t="shared" si="1"/>
        <v/>
      </c>
      <c r="L60" s="12"/>
      <c r="M60" s="5" t="str">
        <f t="shared" si="2"/>
        <v/>
      </c>
      <c r="R60" s="5" t="str">
        <f>IF($A60="","",IFERROR(VLOOKUP($A60,Sheet1!A:AN,18,0),""))</f>
        <v/>
      </c>
      <c r="S60" s="5" t="str">
        <f>IF($A60="","",IFERROR(VLOOKUP($A60,Sheet1!$A:$AN,19,0),""))</f>
        <v/>
      </c>
      <c r="T60" s="5" t="str">
        <f t="shared" si="3"/>
        <v/>
      </c>
      <c r="U60" s="5" t="str">
        <f>IF($A60="","",IFERROR(VLOOKUP($A60,Sheet1!$A:$AN,21,0),""))</f>
        <v/>
      </c>
      <c r="V60" s="5" t="str">
        <f>IF($A60="","",IFERROR(SUBSTITUTE(VLOOKUP($A60,Sheet1!$A:$AN,22,0),"族",""),""))</f>
        <v/>
      </c>
      <c r="W60" s="5" t="str">
        <f>IF($A60="","",IFERROR(VLOOKUP($A60,Sheet1!$A:$AN,23,0),""))</f>
        <v/>
      </c>
      <c r="X60" s="5" t="str">
        <f>IF($A60="","",IFERROR(VLOOKUP($A60,Sheet1!$A:$AN,24,0),""))</f>
        <v/>
      </c>
      <c r="Y60" s="5" t="str">
        <f>IF($A60="","",IFERROR(VLOOKUP($A60,Sheet1!$A:$AN,25,0),""))</f>
        <v/>
      </c>
      <c r="AK60" s="5" t="str">
        <f>IF($A60="","",IFERROR(VLOOKUP($A60,Sheet1!$A:$AN,37,0),""))</f>
        <v/>
      </c>
      <c r="AL60" s="13" t="str">
        <f>IF($A60="","",IFERROR(VLOOKUP($A60,Sheet1!$A:$AN,38,0),""))</f>
        <v/>
      </c>
      <c r="AM60" s="13" t="str">
        <f>IF($A60="","",IFERROR(VLOOKUP($A60,Sheet1!$A:$AN,39,0),""))</f>
        <v/>
      </c>
      <c r="AN60" s="13" t="str">
        <f>IF($A60="","",IFERROR(VLOOKUP($A60,Sheet1!$A:$AN,40,0),""))</f>
        <v/>
      </c>
    </row>
    <row r="61" customHeight="1" spans="1:40">
      <c r="A61" s="5" t="str">
        <f>IF(Sheet1!$A61="","",Sheet1!$A61)</f>
        <v/>
      </c>
      <c r="B61" s="5" t="str">
        <f t="shared" si="0"/>
        <v/>
      </c>
      <c r="C61" s="5" t="str">
        <f>IF($A61="","",IFERROR(VLOOKUP($A61,Sheet1!$A:$AN,3,0),""))</f>
        <v/>
      </c>
      <c r="D61" s="5" t="str">
        <f t="shared" si="4"/>
        <v/>
      </c>
      <c r="I61" s="5" t="str">
        <f t="shared" si="1"/>
        <v/>
      </c>
      <c r="L61" s="12"/>
      <c r="M61" s="5" t="str">
        <f t="shared" si="2"/>
        <v/>
      </c>
      <c r="R61" s="5" t="str">
        <f>IF($A61="","",IFERROR(VLOOKUP($A61,Sheet1!A:AN,18,0),""))</f>
        <v/>
      </c>
      <c r="S61" s="5" t="str">
        <f>IF($A61="","",IFERROR(VLOOKUP($A61,Sheet1!$A:$AN,19,0),""))</f>
        <v/>
      </c>
      <c r="T61" s="5" t="str">
        <f t="shared" si="3"/>
        <v/>
      </c>
      <c r="U61" s="5" t="str">
        <f>IF($A61="","",IFERROR(VLOOKUP($A61,Sheet1!$A:$AN,21,0),""))</f>
        <v/>
      </c>
      <c r="V61" s="5" t="str">
        <f>IF($A61="","",IFERROR(SUBSTITUTE(VLOOKUP($A61,Sheet1!$A:$AN,22,0),"族",""),""))</f>
        <v/>
      </c>
      <c r="W61" s="5" t="str">
        <f>IF($A61="","",IFERROR(VLOOKUP($A61,Sheet1!$A:$AN,23,0),""))</f>
        <v/>
      </c>
      <c r="X61" s="5" t="str">
        <f>IF($A61="","",IFERROR(VLOOKUP($A61,Sheet1!$A:$AN,24,0),""))</f>
        <v/>
      </c>
      <c r="Y61" s="5" t="str">
        <f>IF($A61="","",IFERROR(VLOOKUP($A61,Sheet1!$A:$AN,25,0),""))</f>
        <v/>
      </c>
      <c r="AK61" s="5" t="str">
        <f>IF($A61="","",IFERROR(VLOOKUP($A61,Sheet1!$A:$AN,37,0),""))</f>
        <v/>
      </c>
      <c r="AL61" s="13" t="str">
        <f>IF($A61="","",IFERROR(VLOOKUP($A61,Sheet1!$A:$AN,38,0),""))</f>
        <v/>
      </c>
      <c r="AM61" s="13" t="str">
        <f>IF($A61="","",IFERROR(VLOOKUP($A61,Sheet1!$A:$AN,39,0),""))</f>
        <v/>
      </c>
      <c r="AN61" s="13" t="str">
        <f>IF($A61="","",IFERROR(VLOOKUP($A61,Sheet1!$A:$AN,40,0),""))</f>
        <v/>
      </c>
    </row>
    <row r="62" customHeight="1" spans="1:40">
      <c r="A62" s="5" t="str">
        <f>IF(Sheet1!$A62="","",Sheet1!$A62)</f>
        <v/>
      </c>
      <c r="B62" s="5" t="str">
        <f t="shared" si="0"/>
        <v/>
      </c>
      <c r="C62" s="5" t="str">
        <f>IF($A62="","",IFERROR(VLOOKUP($A62,Sheet1!$A:$AN,3,0),""))</f>
        <v/>
      </c>
      <c r="D62" s="5" t="str">
        <f t="shared" si="4"/>
        <v/>
      </c>
      <c r="I62" s="5" t="str">
        <f t="shared" si="1"/>
        <v/>
      </c>
      <c r="L62" s="12"/>
      <c r="M62" s="5" t="str">
        <f t="shared" si="2"/>
        <v/>
      </c>
      <c r="R62" s="5" t="str">
        <f>IF($A62="","",IFERROR(VLOOKUP($A62,Sheet1!A:AN,18,0),""))</f>
        <v/>
      </c>
      <c r="S62" s="5" t="str">
        <f>IF($A62="","",IFERROR(VLOOKUP($A62,Sheet1!$A:$AN,19,0),""))</f>
        <v/>
      </c>
      <c r="T62" s="5" t="str">
        <f t="shared" si="3"/>
        <v/>
      </c>
      <c r="U62" s="5" t="str">
        <f>IF($A62="","",IFERROR(VLOOKUP($A62,Sheet1!$A:$AN,21,0),""))</f>
        <v/>
      </c>
      <c r="V62" s="5" t="str">
        <f>IF($A62="","",IFERROR(SUBSTITUTE(VLOOKUP($A62,Sheet1!$A:$AN,22,0),"族",""),""))</f>
        <v/>
      </c>
      <c r="W62" s="5" t="str">
        <f>IF($A62="","",IFERROR(VLOOKUP($A62,Sheet1!$A:$AN,23,0),""))</f>
        <v/>
      </c>
      <c r="X62" s="5" t="str">
        <f>IF($A62="","",IFERROR(VLOOKUP($A62,Sheet1!$A:$AN,24,0),""))</f>
        <v/>
      </c>
      <c r="Y62" s="5" t="str">
        <f>IF($A62="","",IFERROR(VLOOKUP($A62,Sheet1!$A:$AN,25,0),""))</f>
        <v/>
      </c>
      <c r="AK62" s="5" t="str">
        <f>IF($A62="","",IFERROR(VLOOKUP($A62,Sheet1!$A:$AN,37,0),""))</f>
        <v/>
      </c>
      <c r="AL62" s="13" t="str">
        <f>IF($A62="","",IFERROR(VLOOKUP($A62,Sheet1!$A:$AN,38,0),""))</f>
        <v/>
      </c>
      <c r="AM62" s="13" t="str">
        <f>IF($A62="","",IFERROR(VLOOKUP($A62,Sheet1!$A:$AN,39,0),""))</f>
        <v/>
      </c>
      <c r="AN62" s="13" t="str">
        <f>IF($A62="","",IFERROR(VLOOKUP($A62,Sheet1!$A:$AN,40,0),""))</f>
        <v/>
      </c>
    </row>
    <row r="63" customHeight="1" spans="1:40">
      <c r="A63" s="5" t="str">
        <f>IF(Sheet1!$A63="","",Sheet1!$A63)</f>
        <v/>
      </c>
      <c r="B63" s="5" t="str">
        <f t="shared" si="0"/>
        <v/>
      </c>
      <c r="C63" s="5" t="str">
        <f>IF($A63="","",IFERROR(VLOOKUP($A63,Sheet1!$A:$AN,3,0),""))</f>
        <v/>
      </c>
      <c r="D63" s="5" t="str">
        <f t="shared" si="4"/>
        <v/>
      </c>
      <c r="I63" s="5" t="str">
        <f t="shared" si="1"/>
        <v/>
      </c>
      <c r="L63" s="12"/>
      <c r="M63" s="5" t="str">
        <f t="shared" si="2"/>
        <v/>
      </c>
      <c r="R63" s="5" t="str">
        <f>IF($A63="","",IFERROR(VLOOKUP($A63,Sheet1!A:AN,18,0),""))</f>
        <v/>
      </c>
      <c r="S63" s="5" t="str">
        <f>IF($A63="","",IFERROR(VLOOKUP($A63,Sheet1!$A:$AN,19,0),""))</f>
        <v/>
      </c>
      <c r="T63" s="5" t="str">
        <f t="shared" si="3"/>
        <v/>
      </c>
      <c r="U63" s="5" t="str">
        <f>IF($A63="","",IFERROR(VLOOKUP($A63,Sheet1!$A:$AN,21,0),""))</f>
        <v/>
      </c>
      <c r="V63" s="5" t="str">
        <f>IF($A63="","",IFERROR(SUBSTITUTE(VLOOKUP($A63,Sheet1!$A:$AN,22,0),"族",""),""))</f>
        <v/>
      </c>
      <c r="W63" s="5" t="str">
        <f>IF($A63="","",IFERROR(VLOOKUP($A63,Sheet1!$A:$AN,23,0),""))</f>
        <v/>
      </c>
      <c r="X63" s="5" t="str">
        <f>IF($A63="","",IFERROR(VLOOKUP($A63,Sheet1!$A:$AN,24,0),""))</f>
        <v/>
      </c>
      <c r="Y63" s="5" t="str">
        <f>IF($A63="","",IFERROR(VLOOKUP($A63,Sheet1!$A:$AN,25,0),""))</f>
        <v/>
      </c>
      <c r="AK63" s="5" t="str">
        <f>IF($A63="","",IFERROR(VLOOKUP($A63,Sheet1!$A:$AN,37,0),""))</f>
        <v/>
      </c>
      <c r="AL63" s="13" t="str">
        <f>IF($A63="","",IFERROR(VLOOKUP($A63,Sheet1!$A:$AN,38,0),""))</f>
        <v/>
      </c>
      <c r="AM63" s="13" t="str">
        <f>IF($A63="","",IFERROR(VLOOKUP($A63,Sheet1!$A:$AN,39,0),""))</f>
        <v/>
      </c>
      <c r="AN63" s="13" t="str">
        <f>IF($A63="","",IFERROR(VLOOKUP($A63,Sheet1!$A:$AN,40,0),""))</f>
        <v/>
      </c>
    </row>
    <row r="64" customHeight="1" spans="1:40">
      <c r="A64" s="5" t="str">
        <f>IF(Sheet1!$A64="","",Sheet1!$A64)</f>
        <v/>
      </c>
      <c r="B64" s="5" t="str">
        <f t="shared" si="0"/>
        <v/>
      </c>
      <c r="C64" s="5" t="str">
        <f>IF($A64="","",IFERROR(VLOOKUP($A64,Sheet1!$A:$AN,3,0),""))</f>
        <v/>
      </c>
      <c r="D64" s="5" t="str">
        <f t="shared" si="4"/>
        <v/>
      </c>
      <c r="I64" s="5" t="str">
        <f t="shared" si="1"/>
        <v/>
      </c>
      <c r="L64" s="12"/>
      <c r="M64" s="5" t="str">
        <f t="shared" si="2"/>
        <v/>
      </c>
      <c r="R64" s="5" t="str">
        <f>IF($A64="","",IFERROR(VLOOKUP($A64,Sheet1!A:AN,18,0),""))</f>
        <v/>
      </c>
      <c r="S64" s="5" t="str">
        <f>IF($A64="","",IFERROR(VLOOKUP($A64,Sheet1!$A:$AN,19,0),""))</f>
        <v/>
      </c>
      <c r="T64" s="5" t="str">
        <f t="shared" si="3"/>
        <v/>
      </c>
      <c r="U64" s="5" t="str">
        <f>IF($A64="","",IFERROR(VLOOKUP($A64,Sheet1!$A:$AN,21,0),""))</f>
        <v/>
      </c>
      <c r="V64" s="5" t="str">
        <f>IF($A64="","",IFERROR(SUBSTITUTE(VLOOKUP($A64,Sheet1!$A:$AN,22,0),"族",""),""))</f>
        <v/>
      </c>
      <c r="W64" s="5" t="str">
        <f>IF($A64="","",IFERROR(VLOOKUP($A64,Sheet1!$A:$AN,23,0),""))</f>
        <v/>
      </c>
      <c r="X64" s="5" t="str">
        <f>IF($A64="","",IFERROR(VLOOKUP($A64,Sheet1!$A:$AN,24,0),""))</f>
        <v/>
      </c>
      <c r="Y64" s="5" t="str">
        <f>IF($A64="","",IFERROR(VLOOKUP($A64,Sheet1!$A:$AN,25,0),""))</f>
        <v/>
      </c>
      <c r="AK64" s="5" t="str">
        <f>IF($A64="","",IFERROR(VLOOKUP($A64,Sheet1!$A:$AN,37,0),""))</f>
        <v/>
      </c>
      <c r="AL64" s="13" t="str">
        <f>IF($A64="","",IFERROR(VLOOKUP($A64,Sheet1!$A:$AN,38,0),""))</f>
        <v/>
      </c>
      <c r="AM64" s="13" t="str">
        <f>IF($A64="","",IFERROR(VLOOKUP($A64,Sheet1!$A:$AN,39,0),""))</f>
        <v/>
      </c>
      <c r="AN64" s="13" t="str">
        <f>IF($A64="","",IFERROR(VLOOKUP($A64,Sheet1!$A:$AN,40,0),""))</f>
        <v/>
      </c>
    </row>
    <row r="65" customHeight="1" spans="1:40">
      <c r="A65" s="5" t="str">
        <f>IF(Sheet1!$A65="","",Sheet1!$A65)</f>
        <v/>
      </c>
      <c r="B65" s="5" t="str">
        <f t="shared" si="0"/>
        <v/>
      </c>
      <c r="C65" s="5" t="str">
        <f>IF($A65="","",IFERROR(VLOOKUP($A65,Sheet1!$A:$AN,3,0),""))</f>
        <v/>
      </c>
      <c r="D65" s="5" t="str">
        <f t="shared" si="4"/>
        <v/>
      </c>
      <c r="I65" s="5" t="str">
        <f t="shared" si="1"/>
        <v/>
      </c>
      <c r="L65" s="12"/>
      <c r="M65" s="5" t="str">
        <f t="shared" si="2"/>
        <v/>
      </c>
      <c r="R65" s="5" t="str">
        <f>IF($A65="","",IFERROR(VLOOKUP($A65,Sheet1!A:AN,18,0),""))</f>
        <v/>
      </c>
      <c r="S65" s="5" t="str">
        <f>IF($A65="","",IFERROR(VLOOKUP($A65,Sheet1!$A:$AN,19,0),""))</f>
        <v/>
      </c>
      <c r="T65" s="5" t="str">
        <f t="shared" si="3"/>
        <v/>
      </c>
      <c r="U65" s="5" t="str">
        <f>IF($A65="","",IFERROR(VLOOKUP($A65,Sheet1!$A:$AN,21,0),""))</f>
        <v/>
      </c>
      <c r="V65" s="5" t="str">
        <f>IF($A65="","",IFERROR(SUBSTITUTE(VLOOKUP($A65,Sheet1!$A:$AN,22,0),"族",""),""))</f>
        <v/>
      </c>
      <c r="W65" s="5" t="str">
        <f>IF($A65="","",IFERROR(VLOOKUP($A65,Sheet1!$A:$AN,23,0),""))</f>
        <v/>
      </c>
      <c r="X65" s="5" t="str">
        <f>IF($A65="","",IFERROR(VLOOKUP($A65,Sheet1!$A:$AN,24,0),""))</f>
        <v/>
      </c>
      <c r="Y65" s="5" t="str">
        <f>IF($A65="","",IFERROR(VLOOKUP($A65,Sheet1!$A:$AN,25,0),""))</f>
        <v/>
      </c>
      <c r="AK65" s="5" t="str">
        <f>IF($A65="","",IFERROR(VLOOKUP($A65,Sheet1!$A:$AN,37,0),""))</f>
        <v/>
      </c>
      <c r="AL65" s="13" t="str">
        <f>IF($A65="","",IFERROR(VLOOKUP($A65,Sheet1!$A:$AN,38,0),""))</f>
        <v/>
      </c>
      <c r="AM65" s="13" t="str">
        <f>IF($A65="","",IFERROR(VLOOKUP($A65,Sheet1!$A:$AN,39,0),""))</f>
        <v/>
      </c>
      <c r="AN65" s="13" t="str">
        <f>IF($A65="","",IFERROR(VLOOKUP($A65,Sheet1!$A:$AN,40,0),""))</f>
        <v/>
      </c>
    </row>
    <row r="66" customHeight="1" spans="1:40">
      <c r="A66" s="5" t="str">
        <f>IF(Sheet1!$A66="","",Sheet1!$A66)</f>
        <v/>
      </c>
      <c r="B66" s="5" t="str">
        <f t="shared" si="0"/>
        <v/>
      </c>
      <c r="C66" s="5" t="str">
        <f>IF($A66="","",IFERROR(VLOOKUP($A66,Sheet1!$A:$AN,3,0),""))</f>
        <v/>
      </c>
      <c r="D66" s="5" t="str">
        <f t="shared" si="4"/>
        <v/>
      </c>
      <c r="I66" s="5" t="str">
        <f t="shared" si="1"/>
        <v/>
      </c>
      <c r="L66" s="12"/>
      <c r="M66" s="5" t="str">
        <f t="shared" si="2"/>
        <v/>
      </c>
      <c r="R66" s="5" t="str">
        <f>IF($A66="","",IFERROR(VLOOKUP($A66,Sheet1!A:AN,18,0),""))</f>
        <v/>
      </c>
      <c r="S66" s="5" t="str">
        <f>IF($A66="","",IFERROR(VLOOKUP($A66,Sheet1!$A:$AN,19,0),""))</f>
        <v/>
      </c>
      <c r="T66" s="5" t="str">
        <f t="shared" si="3"/>
        <v/>
      </c>
      <c r="U66" s="5" t="str">
        <f>IF($A66="","",IFERROR(VLOOKUP($A66,Sheet1!$A:$AN,21,0),""))</f>
        <v/>
      </c>
      <c r="V66" s="5" t="str">
        <f>IF($A66="","",IFERROR(SUBSTITUTE(VLOOKUP($A66,Sheet1!$A:$AN,22,0),"族",""),""))</f>
        <v/>
      </c>
      <c r="W66" s="5" t="str">
        <f>IF($A66="","",IFERROR(VLOOKUP($A66,Sheet1!$A:$AN,23,0),""))</f>
        <v/>
      </c>
      <c r="X66" s="5" t="str">
        <f>IF($A66="","",IFERROR(VLOOKUP($A66,Sheet1!$A:$AN,24,0),""))</f>
        <v/>
      </c>
      <c r="Y66" s="5" t="str">
        <f>IF($A66="","",IFERROR(VLOOKUP($A66,Sheet1!$A:$AN,25,0),""))</f>
        <v/>
      </c>
      <c r="AK66" s="5" t="str">
        <f>IF($A66="","",IFERROR(VLOOKUP($A66,Sheet1!$A:$AN,37,0),""))</f>
        <v/>
      </c>
      <c r="AL66" s="13" t="str">
        <f>IF($A66="","",IFERROR(VLOOKUP($A66,Sheet1!$A:$AN,38,0),""))</f>
        <v/>
      </c>
      <c r="AM66" s="13" t="str">
        <f>IF($A66="","",IFERROR(VLOOKUP($A66,Sheet1!$A:$AN,39,0),""))</f>
        <v/>
      </c>
      <c r="AN66" s="13" t="str">
        <f>IF($A66="","",IFERROR(VLOOKUP($A66,Sheet1!$A:$AN,40,0),""))</f>
        <v/>
      </c>
    </row>
    <row r="67" customHeight="1" spans="1:40">
      <c r="A67" s="5" t="str">
        <f>IF(Sheet1!$A67="","",Sheet1!$A67)</f>
        <v/>
      </c>
      <c r="B67" s="5" t="str">
        <f t="shared" ref="B67:B130" si="5">IF($A67="","","企业")</f>
        <v/>
      </c>
      <c r="C67" s="5" t="str">
        <f>IF($A67="","",IFERROR(VLOOKUP($A67,Sheet1!$A:$AN,3,0),""))</f>
        <v/>
      </c>
      <c r="D67" s="5" t="str">
        <f t="shared" ref="D67:D130" si="6">IF($C67="","","营业执照")</f>
        <v/>
      </c>
      <c r="I67" s="5" t="str">
        <f t="shared" ref="I67:I130" si="7">IF($C67="","","身份证")</f>
        <v/>
      </c>
      <c r="L67" s="12"/>
      <c r="M67" s="5" t="str">
        <f t="shared" ref="M67:M130" si="8">IF($C67="","","自然人")</f>
        <v/>
      </c>
      <c r="R67" s="5" t="str">
        <f>IF($A67="","",IFERROR(VLOOKUP($A67,Sheet1!A:AN,18,0),""))</f>
        <v/>
      </c>
      <c r="S67" s="5" t="str">
        <f>IF($A67="","",IFERROR(VLOOKUP($A67,Sheet1!$A:$AN,19,0),""))</f>
        <v/>
      </c>
      <c r="T67" s="5" t="str">
        <f t="shared" ref="T67:T130" si="9">IF($S67="","","身份证")</f>
        <v/>
      </c>
      <c r="U67" s="5" t="str">
        <f>IF($A67="","",IFERROR(VLOOKUP($A67,Sheet1!$A:$AN,21,0),""))</f>
        <v/>
      </c>
      <c r="V67" s="5" t="str">
        <f>IF($A67="","",IFERROR(SUBSTITUTE(VLOOKUP($A67,Sheet1!$A:$AN,22,0),"族",""),""))</f>
        <v/>
      </c>
      <c r="W67" s="5" t="str">
        <f>IF($A67="","",IFERROR(VLOOKUP($A67,Sheet1!$A:$AN,23,0),""))</f>
        <v/>
      </c>
      <c r="X67" s="5" t="str">
        <f>IF($A67="","",IFERROR(VLOOKUP($A67,Sheet1!$A:$AN,24,0),""))</f>
        <v/>
      </c>
      <c r="Y67" s="5" t="str">
        <f>IF($A67="","",IFERROR(VLOOKUP($A67,Sheet1!$A:$AN,25,0),""))</f>
        <v/>
      </c>
      <c r="AK67" s="5" t="str">
        <f>IF($A67="","",IFERROR(VLOOKUP($A67,Sheet1!$A:$AN,37,0),""))</f>
        <v/>
      </c>
      <c r="AL67" s="13" t="str">
        <f>IF($A67="","",IFERROR(VLOOKUP($A67,Sheet1!$A:$AN,38,0),""))</f>
        <v/>
      </c>
      <c r="AM67" s="13" t="str">
        <f>IF($A67="","",IFERROR(VLOOKUP($A67,Sheet1!$A:$AN,39,0),""))</f>
        <v/>
      </c>
      <c r="AN67" s="13" t="str">
        <f>IF($A67="","",IFERROR(VLOOKUP($A67,Sheet1!$A:$AN,40,0),""))</f>
        <v/>
      </c>
    </row>
    <row r="68" customHeight="1" spans="1:40">
      <c r="A68" s="5" t="str">
        <f>IF(Sheet1!$A68="","",Sheet1!$A68)</f>
        <v/>
      </c>
      <c r="B68" s="5" t="str">
        <f t="shared" si="5"/>
        <v/>
      </c>
      <c r="C68" s="5" t="str">
        <f>IF($A68="","",IFERROR(VLOOKUP($A68,Sheet1!$A:$AN,3,0),""))</f>
        <v/>
      </c>
      <c r="D68" s="5" t="str">
        <f t="shared" si="6"/>
        <v/>
      </c>
      <c r="I68" s="5" t="str">
        <f t="shared" si="7"/>
        <v/>
      </c>
      <c r="L68" s="12"/>
      <c r="M68" s="5" t="str">
        <f t="shared" si="8"/>
        <v/>
      </c>
      <c r="R68" s="5" t="str">
        <f>IF($A68="","",IFERROR(VLOOKUP($A68,Sheet1!A:AN,18,0),""))</f>
        <v/>
      </c>
      <c r="S68" s="5" t="str">
        <f>IF($A68="","",IFERROR(VLOOKUP($A68,Sheet1!$A:$AN,19,0),""))</f>
        <v/>
      </c>
      <c r="T68" s="5" t="str">
        <f t="shared" si="9"/>
        <v/>
      </c>
      <c r="U68" s="5" t="str">
        <f>IF($A68="","",IFERROR(VLOOKUP($A68,Sheet1!$A:$AN,21,0),""))</f>
        <v/>
      </c>
      <c r="V68" s="5" t="str">
        <f>IF($A68="","",IFERROR(SUBSTITUTE(VLOOKUP($A68,Sheet1!$A:$AN,22,0),"族",""),""))</f>
        <v/>
      </c>
      <c r="W68" s="5" t="str">
        <f>IF($A68="","",IFERROR(VLOOKUP($A68,Sheet1!$A:$AN,23,0),""))</f>
        <v/>
      </c>
      <c r="X68" s="5" t="str">
        <f>IF($A68="","",IFERROR(VLOOKUP($A68,Sheet1!$A:$AN,24,0),""))</f>
        <v/>
      </c>
      <c r="Y68" s="5" t="str">
        <f>IF($A68="","",IFERROR(VLOOKUP($A68,Sheet1!$A:$AN,25,0),""))</f>
        <v/>
      </c>
      <c r="AK68" s="5" t="str">
        <f>IF($A68="","",IFERROR(VLOOKUP($A68,Sheet1!$A:$AN,37,0),""))</f>
        <v/>
      </c>
      <c r="AL68" s="13" t="str">
        <f>IF($A68="","",IFERROR(VLOOKUP($A68,Sheet1!$A:$AN,38,0),""))</f>
        <v/>
      </c>
      <c r="AM68" s="13" t="str">
        <f>IF($A68="","",IFERROR(VLOOKUP($A68,Sheet1!$A:$AN,39,0),""))</f>
        <v/>
      </c>
      <c r="AN68" s="13" t="str">
        <f>IF($A68="","",IFERROR(VLOOKUP($A68,Sheet1!$A:$AN,40,0),""))</f>
        <v/>
      </c>
    </row>
    <row r="69" customHeight="1" spans="1:40">
      <c r="A69" s="5" t="str">
        <f>IF(Sheet1!$A69="","",Sheet1!$A69)</f>
        <v/>
      </c>
      <c r="B69" s="5" t="str">
        <f t="shared" si="5"/>
        <v/>
      </c>
      <c r="C69" s="5" t="str">
        <f>IF($A69="","",IFERROR(VLOOKUP($A69,Sheet1!$A:$AN,3,0),""))</f>
        <v/>
      </c>
      <c r="D69" s="5" t="str">
        <f t="shared" si="6"/>
        <v/>
      </c>
      <c r="I69" s="5" t="str">
        <f t="shared" si="7"/>
        <v/>
      </c>
      <c r="L69" s="12"/>
      <c r="M69" s="5" t="str">
        <f t="shared" si="8"/>
        <v/>
      </c>
      <c r="R69" s="5" t="str">
        <f>IF($A69="","",IFERROR(VLOOKUP($A69,Sheet1!A:AN,18,0),""))</f>
        <v/>
      </c>
      <c r="S69" s="5" t="str">
        <f>IF($A69="","",IFERROR(VLOOKUP($A69,Sheet1!$A:$AN,19,0),""))</f>
        <v/>
      </c>
      <c r="T69" s="5" t="str">
        <f t="shared" si="9"/>
        <v/>
      </c>
      <c r="U69" s="5" t="str">
        <f>IF($A69="","",IFERROR(VLOOKUP($A69,Sheet1!$A:$AN,21,0),""))</f>
        <v/>
      </c>
      <c r="V69" s="5" t="str">
        <f>IF($A69="","",IFERROR(SUBSTITUTE(VLOOKUP($A69,Sheet1!$A:$AN,22,0),"族",""),""))</f>
        <v/>
      </c>
      <c r="W69" s="5" t="str">
        <f>IF($A69="","",IFERROR(VLOOKUP($A69,Sheet1!$A:$AN,23,0),""))</f>
        <v/>
      </c>
      <c r="X69" s="5" t="str">
        <f>IF($A69="","",IFERROR(VLOOKUP($A69,Sheet1!$A:$AN,24,0),""))</f>
        <v/>
      </c>
      <c r="Y69" s="5" t="str">
        <f>IF($A69="","",IFERROR(VLOOKUP($A69,Sheet1!$A:$AN,25,0),""))</f>
        <v/>
      </c>
      <c r="AK69" s="5" t="str">
        <f>IF($A69="","",IFERROR(VLOOKUP($A69,Sheet1!$A:$AN,37,0),""))</f>
        <v/>
      </c>
      <c r="AL69" s="13" t="str">
        <f>IF($A69="","",IFERROR(VLOOKUP($A69,Sheet1!$A:$AN,38,0),""))</f>
        <v/>
      </c>
      <c r="AM69" s="13" t="str">
        <f>IF($A69="","",IFERROR(VLOOKUP($A69,Sheet1!$A:$AN,39,0),""))</f>
        <v/>
      </c>
      <c r="AN69" s="13" t="str">
        <f>IF($A69="","",IFERROR(VLOOKUP($A69,Sheet1!$A:$AN,40,0),""))</f>
        <v/>
      </c>
    </row>
    <row r="70" customHeight="1" spans="1:40">
      <c r="A70" s="5" t="str">
        <f>IF(Sheet1!$A70="","",Sheet1!$A70)</f>
        <v/>
      </c>
      <c r="B70" s="5" t="str">
        <f t="shared" si="5"/>
        <v/>
      </c>
      <c r="C70" s="5" t="str">
        <f>IF($A70="","",IFERROR(VLOOKUP($A70,Sheet1!$A:$AN,3,0),""))</f>
        <v/>
      </c>
      <c r="D70" s="5" t="str">
        <f t="shared" si="6"/>
        <v/>
      </c>
      <c r="I70" s="5" t="str">
        <f t="shared" si="7"/>
        <v/>
      </c>
      <c r="L70" s="12"/>
      <c r="M70" s="5" t="str">
        <f t="shared" si="8"/>
        <v/>
      </c>
      <c r="R70" s="5" t="str">
        <f>IF($A70="","",IFERROR(VLOOKUP($A70,Sheet1!A:AN,18,0),""))</f>
        <v/>
      </c>
      <c r="S70" s="5" t="str">
        <f>IF($A70="","",IFERROR(VLOOKUP($A70,Sheet1!$A:$AN,19,0),""))</f>
        <v/>
      </c>
      <c r="T70" s="5" t="str">
        <f t="shared" si="9"/>
        <v/>
      </c>
      <c r="U70" s="5" t="str">
        <f>IF($A70="","",IFERROR(VLOOKUP($A70,Sheet1!$A:$AN,21,0),""))</f>
        <v/>
      </c>
      <c r="V70" s="5" t="str">
        <f>IF($A70="","",IFERROR(SUBSTITUTE(VLOOKUP($A70,Sheet1!$A:$AN,22,0),"族",""),""))</f>
        <v/>
      </c>
      <c r="W70" s="5" t="str">
        <f>IF($A70="","",IFERROR(VLOOKUP($A70,Sheet1!$A:$AN,23,0),""))</f>
        <v/>
      </c>
      <c r="X70" s="5" t="str">
        <f>IF($A70="","",IFERROR(VLOOKUP($A70,Sheet1!$A:$AN,24,0),""))</f>
        <v/>
      </c>
      <c r="Y70" s="5" t="str">
        <f>IF($A70="","",IFERROR(VLOOKUP($A70,Sheet1!$A:$AN,25,0),""))</f>
        <v/>
      </c>
      <c r="AK70" s="5" t="str">
        <f>IF($A70="","",IFERROR(VLOOKUP($A70,Sheet1!$A:$AN,37,0),""))</f>
        <v/>
      </c>
      <c r="AL70" s="13" t="str">
        <f>IF($A70="","",IFERROR(VLOOKUP($A70,Sheet1!$A:$AN,38,0),""))</f>
        <v/>
      </c>
      <c r="AM70" s="13" t="str">
        <f>IF($A70="","",IFERROR(VLOOKUP($A70,Sheet1!$A:$AN,39,0),""))</f>
        <v/>
      </c>
      <c r="AN70" s="13" t="str">
        <f>IF($A70="","",IFERROR(VLOOKUP($A70,Sheet1!$A:$AN,40,0),""))</f>
        <v/>
      </c>
    </row>
    <row r="71" customHeight="1" spans="1:40">
      <c r="A71" s="5" t="str">
        <f>IF(Sheet1!$A71="","",Sheet1!$A71)</f>
        <v/>
      </c>
      <c r="B71" s="5" t="str">
        <f t="shared" si="5"/>
        <v/>
      </c>
      <c r="C71" s="5" t="str">
        <f>IF($A71="","",IFERROR(VLOOKUP($A71,Sheet1!$A:$AN,3,0),""))</f>
        <v/>
      </c>
      <c r="D71" s="5" t="str">
        <f t="shared" si="6"/>
        <v/>
      </c>
      <c r="I71" s="5" t="str">
        <f t="shared" si="7"/>
        <v/>
      </c>
      <c r="L71" s="12"/>
      <c r="M71" s="5" t="str">
        <f t="shared" si="8"/>
        <v/>
      </c>
      <c r="R71" s="5" t="str">
        <f>IF($A71="","",IFERROR(VLOOKUP($A71,Sheet1!A:AN,18,0),""))</f>
        <v/>
      </c>
      <c r="S71" s="5" t="str">
        <f>IF($A71="","",IFERROR(VLOOKUP($A71,Sheet1!$A:$AN,19,0),""))</f>
        <v/>
      </c>
      <c r="T71" s="5" t="str">
        <f t="shared" si="9"/>
        <v/>
      </c>
      <c r="U71" s="5" t="str">
        <f>IF($A71="","",IFERROR(VLOOKUP($A71,Sheet1!$A:$AN,21,0),""))</f>
        <v/>
      </c>
      <c r="V71" s="5" t="str">
        <f>IF($A71="","",IFERROR(SUBSTITUTE(VLOOKUP($A71,Sheet1!$A:$AN,22,0),"族",""),""))</f>
        <v/>
      </c>
      <c r="W71" s="5" t="str">
        <f>IF($A71="","",IFERROR(VLOOKUP($A71,Sheet1!$A:$AN,23,0),""))</f>
        <v/>
      </c>
      <c r="X71" s="5" t="str">
        <f>IF($A71="","",IFERROR(VLOOKUP($A71,Sheet1!$A:$AN,24,0),""))</f>
        <v/>
      </c>
      <c r="Y71" s="5" t="str">
        <f>IF($A71="","",IFERROR(VLOOKUP($A71,Sheet1!$A:$AN,25,0),""))</f>
        <v/>
      </c>
      <c r="AK71" s="5" t="str">
        <f>IF($A71="","",IFERROR(VLOOKUP($A71,Sheet1!$A:$AN,37,0),""))</f>
        <v/>
      </c>
      <c r="AL71" s="13" t="str">
        <f>IF($A71="","",IFERROR(VLOOKUP($A71,Sheet1!$A:$AN,38,0),""))</f>
        <v/>
      </c>
      <c r="AM71" s="13" t="str">
        <f>IF($A71="","",IFERROR(VLOOKUP($A71,Sheet1!$A:$AN,39,0),""))</f>
        <v/>
      </c>
      <c r="AN71" s="13" t="str">
        <f>IF($A71="","",IFERROR(VLOOKUP($A71,Sheet1!$A:$AN,40,0),""))</f>
        <v/>
      </c>
    </row>
    <row r="72" customHeight="1" spans="1:40">
      <c r="A72" s="5" t="str">
        <f>IF(Sheet1!$A72="","",Sheet1!$A72)</f>
        <v/>
      </c>
      <c r="B72" s="5" t="str">
        <f t="shared" si="5"/>
        <v/>
      </c>
      <c r="C72" s="5" t="str">
        <f>IF($A72="","",IFERROR(VLOOKUP($A72,Sheet1!$A:$AN,3,0),""))</f>
        <v/>
      </c>
      <c r="D72" s="5" t="str">
        <f t="shared" si="6"/>
        <v/>
      </c>
      <c r="I72" s="5" t="str">
        <f t="shared" si="7"/>
        <v/>
      </c>
      <c r="L72" s="12"/>
      <c r="M72" s="5" t="str">
        <f t="shared" si="8"/>
        <v/>
      </c>
      <c r="R72" s="5" t="str">
        <f>IF($A72="","",IFERROR(VLOOKUP($A72,Sheet1!A:AN,18,0),""))</f>
        <v/>
      </c>
      <c r="S72" s="5" t="str">
        <f>IF($A72="","",IFERROR(VLOOKUP($A72,Sheet1!$A:$AN,19,0),""))</f>
        <v/>
      </c>
      <c r="T72" s="5" t="str">
        <f t="shared" si="9"/>
        <v/>
      </c>
      <c r="U72" s="5" t="str">
        <f>IF($A72="","",IFERROR(VLOOKUP($A72,Sheet1!$A:$AN,21,0),""))</f>
        <v/>
      </c>
      <c r="V72" s="5" t="str">
        <f>IF($A72="","",IFERROR(SUBSTITUTE(VLOOKUP($A72,Sheet1!$A:$AN,22,0),"族",""),""))</f>
        <v/>
      </c>
      <c r="W72" s="5" t="str">
        <f>IF($A72="","",IFERROR(VLOOKUP($A72,Sheet1!$A:$AN,23,0),""))</f>
        <v/>
      </c>
      <c r="X72" s="5" t="str">
        <f>IF($A72="","",IFERROR(VLOOKUP($A72,Sheet1!$A:$AN,24,0),""))</f>
        <v/>
      </c>
      <c r="Y72" s="5" t="str">
        <f>IF($A72="","",IFERROR(VLOOKUP($A72,Sheet1!$A:$AN,25,0),""))</f>
        <v/>
      </c>
      <c r="AK72" s="5" t="str">
        <f>IF($A72="","",IFERROR(VLOOKUP($A72,Sheet1!$A:$AN,37,0),""))</f>
        <v/>
      </c>
      <c r="AL72" s="13" t="str">
        <f>IF($A72="","",IFERROR(VLOOKUP($A72,Sheet1!$A:$AN,38,0),""))</f>
        <v/>
      </c>
      <c r="AM72" s="13" t="str">
        <f>IF($A72="","",IFERROR(VLOOKUP($A72,Sheet1!$A:$AN,39,0),""))</f>
        <v/>
      </c>
      <c r="AN72" s="13" t="str">
        <f>IF($A72="","",IFERROR(VLOOKUP($A72,Sheet1!$A:$AN,40,0),""))</f>
        <v/>
      </c>
    </row>
    <row r="73" customHeight="1" spans="1:40">
      <c r="A73" s="5" t="str">
        <f>IF(Sheet1!$A73="","",Sheet1!$A73)</f>
        <v/>
      </c>
      <c r="B73" s="5" t="str">
        <f t="shared" si="5"/>
        <v/>
      </c>
      <c r="C73" s="5" t="str">
        <f>IF($A73="","",IFERROR(VLOOKUP($A73,Sheet1!$A:$AN,3,0),""))</f>
        <v/>
      </c>
      <c r="D73" s="5" t="str">
        <f t="shared" si="6"/>
        <v/>
      </c>
      <c r="I73" s="5" t="str">
        <f t="shared" si="7"/>
        <v/>
      </c>
      <c r="M73" s="5" t="str">
        <f t="shared" si="8"/>
        <v/>
      </c>
      <c r="R73" s="5" t="str">
        <f>IF($A73="","",IFERROR(VLOOKUP($A73,Sheet1!A:AN,18,0),""))</f>
        <v/>
      </c>
      <c r="S73" s="5" t="str">
        <f>IF($A73="","",IFERROR(VLOOKUP($A73,Sheet1!$A:$AN,19,0),""))</f>
        <v/>
      </c>
      <c r="T73" s="5" t="str">
        <f t="shared" si="9"/>
        <v/>
      </c>
      <c r="U73" s="5" t="str">
        <f>IF($A73="","",IFERROR(VLOOKUP($A73,Sheet1!$A:$AN,21,0),""))</f>
        <v/>
      </c>
      <c r="V73" s="5" t="str">
        <f>IF($A73="","",IFERROR(SUBSTITUTE(VLOOKUP($A73,Sheet1!$A:$AN,22,0),"族",""),""))</f>
        <v/>
      </c>
      <c r="W73" s="5" t="str">
        <f>IF($A73="","",IFERROR(VLOOKUP($A73,Sheet1!$A:$AN,23,0),""))</f>
        <v/>
      </c>
      <c r="X73" s="5" t="str">
        <f>IF($A73="","",IFERROR(VLOOKUP($A73,Sheet1!$A:$AN,24,0),""))</f>
        <v/>
      </c>
      <c r="Y73" s="5" t="str">
        <f>IF($A73="","",IFERROR(VLOOKUP($A73,Sheet1!$A:$AN,25,0),""))</f>
        <v/>
      </c>
      <c r="AK73" s="5" t="str">
        <f>IF($A73="","",IFERROR(VLOOKUP($A73,Sheet1!$A:$AN,37,0),""))</f>
        <v/>
      </c>
      <c r="AL73" s="13" t="str">
        <f>IF($A73="","",IFERROR(VLOOKUP($A73,Sheet1!$A:$AN,38,0),""))</f>
        <v/>
      </c>
      <c r="AM73" s="13" t="str">
        <f>IF($A73="","",IFERROR(VLOOKUP($A73,Sheet1!$A:$AN,39,0),""))</f>
        <v/>
      </c>
      <c r="AN73" s="13" t="str">
        <f>IF($A73="","",IFERROR(VLOOKUP($A73,Sheet1!$A:$AN,40,0),""))</f>
        <v/>
      </c>
    </row>
    <row r="74" customHeight="1" spans="1:40">
      <c r="A74" s="5" t="str">
        <f>IF(Sheet1!$A74="","",Sheet1!$A74)</f>
        <v/>
      </c>
      <c r="B74" s="5" t="str">
        <f t="shared" si="5"/>
        <v/>
      </c>
      <c r="C74" s="5" t="str">
        <f>IF($A74="","",IFERROR(VLOOKUP($A74,Sheet1!$A:$AN,3,0),""))</f>
        <v/>
      </c>
      <c r="D74" s="5" t="str">
        <f t="shared" si="6"/>
        <v/>
      </c>
      <c r="I74" s="5" t="str">
        <f t="shared" si="7"/>
        <v/>
      </c>
      <c r="M74" s="5" t="str">
        <f t="shared" si="8"/>
        <v/>
      </c>
      <c r="R74" s="5" t="str">
        <f>IF($A74="","",IFERROR(VLOOKUP($A74,Sheet1!A:AN,18,0),""))</f>
        <v/>
      </c>
      <c r="S74" s="5" t="str">
        <f>IF($A74="","",IFERROR(VLOOKUP($A74,Sheet1!$A:$AN,19,0),""))</f>
        <v/>
      </c>
      <c r="T74" s="5" t="str">
        <f t="shared" si="9"/>
        <v/>
      </c>
      <c r="U74" s="5" t="str">
        <f>IF($A74="","",IFERROR(VLOOKUP($A74,Sheet1!$A:$AN,21,0),""))</f>
        <v/>
      </c>
      <c r="V74" s="5" t="str">
        <f>IF($A74="","",IFERROR(SUBSTITUTE(VLOOKUP($A74,Sheet1!$A:$AN,22,0),"族",""),""))</f>
        <v/>
      </c>
      <c r="W74" s="5" t="str">
        <f>IF($A74="","",IFERROR(VLOOKUP($A74,Sheet1!$A:$AN,23,0),""))</f>
        <v/>
      </c>
      <c r="X74" s="5" t="str">
        <f>IF($A74="","",IFERROR(VLOOKUP($A74,Sheet1!$A:$AN,24,0),""))</f>
        <v/>
      </c>
      <c r="Y74" s="5" t="str">
        <f>IF($A74="","",IFERROR(VLOOKUP($A74,Sheet1!$A:$AN,25,0),""))</f>
        <v/>
      </c>
      <c r="AK74" s="5" t="str">
        <f>IF($A74="","",IFERROR(VLOOKUP($A74,Sheet1!$A:$AN,37,0),""))</f>
        <v/>
      </c>
      <c r="AL74" s="13" t="str">
        <f>IF($A74="","",IFERROR(VLOOKUP($A74,Sheet1!$A:$AN,38,0),""))</f>
        <v/>
      </c>
      <c r="AM74" s="13" t="str">
        <f>IF($A74="","",IFERROR(VLOOKUP($A74,Sheet1!$A:$AN,39,0),""))</f>
        <v/>
      </c>
      <c r="AN74" s="13" t="str">
        <f>IF($A74="","",IFERROR(VLOOKUP($A74,Sheet1!$A:$AN,40,0),""))</f>
        <v/>
      </c>
    </row>
    <row r="75" customHeight="1" spans="1:40">
      <c r="A75" s="5" t="str">
        <f>IF(Sheet1!$A75="","",Sheet1!$A75)</f>
        <v/>
      </c>
      <c r="B75" s="5" t="str">
        <f t="shared" si="5"/>
        <v/>
      </c>
      <c r="C75" s="5" t="str">
        <f>IF($A75="","",IFERROR(VLOOKUP($A75,Sheet1!$A:$AN,3,0),""))</f>
        <v/>
      </c>
      <c r="D75" s="5" t="str">
        <f t="shared" si="6"/>
        <v/>
      </c>
      <c r="I75" s="5" t="str">
        <f t="shared" si="7"/>
        <v/>
      </c>
      <c r="M75" s="5" t="str">
        <f t="shared" si="8"/>
        <v/>
      </c>
      <c r="R75" s="5" t="str">
        <f>IF($A75="","",IFERROR(VLOOKUP($A75,Sheet1!A:AN,18,0),""))</f>
        <v/>
      </c>
      <c r="S75" s="5" t="str">
        <f>IF($A75="","",IFERROR(VLOOKUP($A75,Sheet1!$A:$AN,19,0),""))</f>
        <v/>
      </c>
      <c r="T75" s="5" t="str">
        <f t="shared" si="9"/>
        <v/>
      </c>
      <c r="U75" s="5" t="str">
        <f>IF($A75="","",IFERROR(VLOOKUP($A75,Sheet1!$A:$AN,21,0),""))</f>
        <v/>
      </c>
      <c r="V75" s="5" t="str">
        <f>IF($A75="","",IFERROR(SUBSTITUTE(VLOOKUP($A75,Sheet1!$A:$AN,22,0),"族",""),""))</f>
        <v/>
      </c>
      <c r="W75" s="5" t="str">
        <f>IF($A75="","",IFERROR(VLOOKUP($A75,Sheet1!$A:$AN,23,0),""))</f>
        <v/>
      </c>
      <c r="X75" s="5" t="str">
        <f>IF($A75="","",IFERROR(VLOOKUP($A75,Sheet1!$A:$AN,24,0),""))</f>
        <v/>
      </c>
      <c r="Y75" s="5" t="str">
        <f>IF($A75="","",IFERROR(VLOOKUP($A75,Sheet1!$A:$AN,25,0),""))</f>
        <v/>
      </c>
      <c r="AK75" s="5" t="str">
        <f>IF($A75="","",IFERROR(VLOOKUP($A75,Sheet1!$A:$AN,37,0),""))</f>
        <v/>
      </c>
      <c r="AL75" s="13" t="str">
        <f>IF($A75="","",IFERROR(VLOOKUP($A75,Sheet1!$A:$AN,38,0),""))</f>
        <v/>
      </c>
      <c r="AM75" s="13" t="str">
        <f>IF($A75="","",IFERROR(VLOOKUP($A75,Sheet1!$A:$AN,39,0),""))</f>
        <v/>
      </c>
      <c r="AN75" s="13" t="str">
        <f>IF($A75="","",IFERROR(VLOOKUP($A75,Sheet1!$A:$AN,40,0),""))</f>
        <v/>
      </c>
    </row>
    <row r="76" customHeight="1" spans="1:40">
      <c r="A76" s="5" t="str">
        <f>IF(Sheet1!$A76="","",Sheet1!$A76)</f>
        <v/>
      </c>
      <c r="B76" s="5" t="str">
        <f t="shared" si="5"/>
        <v/>
      </c>
      <c r="C76" s="5" t="str">
        <f>IF($A76="","",IFERROR(VLOOKUP($A76,Sheet1!$A:$AN,3,0),""))</f>
        <v/>
      </c>
      <c r="D76" s="5" t="str">
        <f t="shared" si="6"/>
        <v/>
      </c>
      <c r="I76" s="5" t="str">
        <f t="shared" si="7"/>
        <v/>
      </c>
      <c r="M76" s="5" t="str">
        <f t="shared" si="8"/>
        <v/>
      </c>
      <c r="R76" s="5" t="str">
        <f>IF($A76="","",IFERROR(VLOOKUP($A76,Sheet1!A:AN,18,0),""))</f>
        <v/>
      </c>
      <c r="S76" s="5" t="str">
        <f>IF($A76="","",IFERROR(VLOOKUP($A76,Sheet1!$A:$AN,19,0),""))</f>
        <v/>
      </c>
      <c r="T76" s="5" t="str">
        <f t="shared" si="9"/>
        <v/>
      </c>
      <c r="U76" s="5" t="str">
        <f>IF($A76="","",IFERROR(VLOOKUP($A76,Sheet1!$A:$AN,21,0),""))</f>
        <v/>
      </c>
      <c r="V76" s="5" t="str">
        <f>IF($A76="","",IFERROR(SUBSTITUTE(VLOOKUP($A76,Sheet1!$A:$AN,22,0),"族",""),""))</f>
        <v/>
      </c>
      <c r="W76" s="5" t="str">
        <f>IF($A76="","",IFERROR(VLOOKUP($A76,Sheet1!$A:$AN,23,0),""))</f>
        <v/>
      </c>
      <c r="X76" s="5" t="str">
        <f>IF($A76="","",IFERROR(VLOOKUP($A76,Sheet1!$A:$AN,24,0),""))</f>
        <v/>
      </c>
      <c r="Y76" s="5" t="str">
        <f>IF($A76="","",IFERROR(VLOOKUP($A76,Sheet1!$A:$AN,25,0),""))</f>
        <v/>
      </c>
      <c r="AK76" s="5" t="str">
        <f>IF($A76="","",IFERROR(VLOOKUP($A76,Sheet1!$A:$AN,37,0),""))</f>
        <v/>
      </c>
      <c r="AL76" s="13" t="str">
        <f>IF($A76="","",IFERROR(VLOOKUP($A76,Sheet1!$A:$AN,38,0),""))</f>
        <v/>
      </c>
      <c r="AM76" s="13" t="str">
        <f>IF($A76="","",IFERROR(VLOOKUP($A76,Sheet1!$A:$AN,39,0),""))</f>
        <v/>
      </c>
      <c r="AN76" s="13" t="str">
        <f>IF($A76="","",IFERROR(VLOOKUP($A76,Sheet1!$A:$AN,40,0),""))</f>
        <v/>
      </c>
    </row>
    <row r="77" customHeight="1" spans="1:40">
      <c r="A77" s="5" t="str">
        <f>IF(Sheet1!$A77="","",Sheet1!$A77)</f>
        <v/>
      </c>
      <c r="B77" s="5" t="str">
        <f t="shared" si="5"/>
        <v/>
      </c>
      <c r="C77" s="5" t="str">
        <f>IF($A77="","",IFERROR(VLOOKUP($A77,Sheet1!$A:$AN,3,0),""))</f>
        <v/>
      </c>
      <c r="D77" s="5" t="str">
        <f t="shared" si="6"/>
        <v/>
      </c>
      <c r="I77" s="5" t="str">
        <f t="shared" si="7"/>
        <v/>
      </c>
      <c r="M77" s="5" t="str">
        <f t="shared" si="8"/>
        <v/>
      </c>
      <c r="R77" s="5" t="str">
        <f>IF($A77="","",IFERROR(VLOOKUP($A77,Sheet1!A:AN,18,0),""))</f>
        <v/>
      </c>
      <c r="S77" s="5" t="str">
        <f>IF($A77="","",IFERROR(VLOOKUP($A77,Sheet1!$A:$AN,19,0),""))</f>
        <v/>
      </c>
      <c r="T77" s="5" t="str">
        <f t="shared" si="9"/>
        <v/>
      </c>
      <c r="U77" s="5" t="str">
        <f>IF($A77="","",IFERROR(VLOOKUP($A77,Sheet1!$A:$AN,21,0),""))</f>
        <v/>
      </c>
      <c r="V77" s="5" t="str">
        <f>IF($A77="","",IFERROR(SUBSTITUTE(VLOOKUP($A77,Sheet1!$A:$AN,22,0),"族",""),""))</f>
        <v/>
      </c>
      <c r="W77" s="5" t="str">
        <f>IF($A77="","",IFERROR(VLOOKUP($A77,Sheet1!$A:$AN,23,0),""))</f>
        <v/>
      </c>
      <c r="X77" s="5" t="str">
        <f>IF($A77="","",IFERROR(VLOOKUP($A77,Sheet1!$A:$AN,24,0),""))</f>
        <v/>
      </c>
      <c r="Y77" s="5" t="str">
        <f>IF($A77="","",IFERROR(VLOOKUP($A77,Sheet1!$A:$AN,25,0),""))</f>
        <v/>
      </c>
      <c r="AK77" s="5" t="str">
        <f>IF($A77="","",IFERROR(VLOOKUP($A77,Sheet1!$A:$AN,37,0),""))</f>
        <v/>
      </c>
      <c r="AL77" s="13" t="str">
        <f>IF($A77="","",IFERROR(VLOOKUP($A77,Sheet1!$A:$AN,38,0),""))</f>
        <v/>
      </c>
      <c r="AM77" s="13" t="str">
        <f>IF($A77="","",IFERROR(VLOOKUP($A77,Sheet1!$A:$AN,39,0),""))</f>
        <v/>
      </c>
      <c r="AN77" s="13" t="str">
        <f>IF($A77="","",IFERROR(VLOOKUP($A77,Sheet1!$A:$AN,40,0),""))</f>
        <v/>
      </c>
    </row>
    <row r="78" customHeight="1" spans="1:40">
      <c r="A78" s="5" t="str">
        <f>IF(Sheet1!$A78="","",Sheet1!$A78)</f>
        <v/>
      </c>
      <c r="B78" s="5" t="str">
        <f t="shared" si="5"/>
        <v/>
      </c>
      <c r="C78" s="5" t="str">
        <f>IF($A78="","",IFERROR(VLOOKUP($A78,Sheet1!$A:$AN,3,0),""))</f>
        <v/>
      </c>
      <c r="D78" s="5" t="str">
        <f t="shared" si="6"/>
        <v/>
      </c>
      <c r="I78" s="5" t="str">
        <f t="shared" si="7"/>
        <v/>
      </c>
      <c r="M78" s="5" t="str">
        <f t="shared" si="8"/>
        <v/>
      </c>
      <c r="R78" s="5" t="str">
        <f>IF($A78="","",IFERROR(VLOOKUP($A78,Sheet1!A:AN,18,0),""))</f>
        <v/>
      </c>
      <c r="S78" s="5" t="str">
        <f>IF($A78="","",IFERROR(VLOOKUP($A78,Sheet1!$A:$AN,19,0),""))</f>
        <v/>
      </c>
      <c r="T78" s="5" t="str">
        <f t="shared" si="9"/>
        <v/>
      </c>
      <c r="U78" s="5" t="str">
        <f>IF($A78="","",IFERROR(VLOOKUP($A78,Sheet1!$A:$AN,21,0),""))</f>
        <v/>
      </c>
      <c r="V78" s="5" t="str">
        <f>IF($A78="","",IFERROR(SUBSTITUTE(VLOOKUP($A78,Sheet1!$A:$AN,22,0),"族",""),""))</f>
        <v/>
      </c>
      <c r="W78" s="5" t="str">
        <f>IF($A78="","",IFERROR(VLOOKUP($A78,Sheet1!$A:$AN,23,0),""))</f>
        <v/>
      </c>
      <c r="X78" s="5" t="str">
        <f>IF($A78="","",IFERROR(VLOOKUP($A78,Sheet1!$A:$AN,24,0),""))</f>
        <v/>
      </c>
      <c r="Y78" s="5" t="str">
        <f>IF($A78="","",IFERROR(VLOOKUP($A78,Sheet1!$A:$AN,25,0),""))</f>
        <v/>
      </c>
      <c r="AK78" s="5" t="str">
        <f>IF($A78="","",IFERROR(VLOOKUP($A78,Sheet1!$A:$AN,37,0),""))</f>
        <v/>
      </c>
      <c r="AL78" s="13" t="str">
        <f>IF($A78="","",IFERROR(VLOOKUP($A78,Sheet1!$A:$AN,38,0),""))</f>
        <v/>
      </c>
      <c r="AM78" s="13" t="str">
        <f>IF($A78="","",IFERROR(VLOOKUP($A78,Sheet1!$A:$AN,39,0),""))</f>
        <v/>
      </c>
      <c r="AN78" s="13" t="str">
        <f>IF($A78="","",IFERROR(VLOOKUP($A78,Sheet1!$A:$AN,40,0),""))</f>
        <v/>
      </c>
    </row>
    <row r="79" customHeight="1" spans="1:40">
      <c r="A79" s="5" t="str">
        <f>IF(Sheet1!$A79="","",Sheet1!$A79)</f>
        <v/>
      </c>
      <c r="B79" s="5" t="str">
        <f t="shared" si="5"/>
        <v/>
      </c>
      <c r="C79" s="5" t="str">
        <f>IF($A79="","",IFERROR(VLOOKUP($A79,Sheet1!$A:$AN,3,0),""))</f>
        <v/>
      </c>
      <c r="D79" s="5" t="str">
        <f t="shared" si="6"/>
        <v/>
      </c>
      <c r="I79" s="5" t="str">
        <f t="shared" si="7"/>
        <v/>
      </c>
      <c r="M79" s="5" t="str">
        <f t="shared" si="8"/>
        <v/>
      </c>
      <c r="R79" s="5" t="str">
        <f>IF($A79="","",IFERROR(VLOOKUP($A79,Sheet1!A:AN,18,0),""))</f>
        <v/>
      </c>
      <c r="S79" s="5" t="str">
        <f>IF($A79="","",IFERROR(VLOOKUP($A79,Sheet1!$A:$AN,19,0),""))</f>
        <v/>
      </c>
      <c r="T79" s="5" t="str">
        <f t="shared" si="9"/>
        <v/>
      </c>
      <c r="U79" s="5" t="str">
        <f>IF($A79="","",IFERROR(VLOOKUP($A79,Sheet1!$A:$AN,21,0),""))</f>
        <v/>
      </c>
      <c r="V79" s="5" t="str">
        <f>IF($A79="","",IFERROR(SUBSTITUTE(VLOOKUP($A79,Sheet1!$A:$AN,22,0),"族",""),""))</f>
        <v/>
      </c>
      <c r="W79" s="5" t="str">
        <f>IF($A79="","",IFERROR(VLOOKUP($A79,Sheet1!$A:$AN,23,0),""))</f>
        <v/>
      </c>
      <c r="X79" s="5" t="str">
        <f>IF($A79="","",IFERROR(VLOOKUP($A79,Sheet1!$A:$AN,24,0),""))</f>
        <v/>
      </c>
      <c r="Y79" s="5" t="str">
        <f>IF($A79="","",IFERROR(VLOOKUP($A79,Sheet1!$A:$AN,25,0),""))</f>
        <v/>
      </c>
      <c r="AK79" s="5" t="str">
        <f>IF($A79="","",IFERROR(VLOOKUP($A79,Sheet1!$A:$AN,37,0),""))</f>
        <v/>
      </c>
      <c r="AL79" s="13" t="str">
        <f>IF($A79="","",IFERROR(VLOOKUP($A79,Sheet1!$A:$AN,38,0),""))</f>
        <v/>
      </c>
      <c r="AM79" s="13" t="str">
        <f>IF($A79="","",IFERROR(VLOOKUP($A79,Sheet1!$A:$AN,39,0),""))</f>
        <v/>
      </c>
      <c r="AN79" s="13" t="str">
        <f>IF($A79="","",IFERROR(VLOOKUP($A79,Sheet1!$A:$AN,40,0),""))</f>
        <v/>
      </c>
    </row>
    <row r="80" customHeight="1" spans="1:40">
      <c r="A80" s="5" t="str">
        <f>IF(Sheet1!$A80="","",Sheet1!$A80)</f>
        <v/>
      </c>
      <c r="B80" s="5" t="str">
        <f t="shared" si="5"/>
        <v/>
      </c>
      <c r="C80" s="5" t="str">
        <f>IF($A80="","",IFERROR(VLOOKUP($A80,Sheet1!$A:$AN,3,0),""))</f>
        <v/>
      </c>
      <c r="D80" s="5" t="str">
        <f t="shared" si="6"/>
        <v/>
      </c>
      <c r="I80" s="5" t="str">
        <f t="shared" si="7"/>
        <v/>
      </c>
      <c r="M80" s="5" t="str">
        <f t="shared" si="8"/>
        <v/>
      </c>
      <c r="R80" s="5" t="str">
        <f>IF($A80="","",IFERROR(VLOOKUP($A80,Sheet1!A:AN,18,0),""))</f>
        <v/>
      </c>
      <c r="S80" s="5" t="str">
        <f>IF($A80="","",IFERROR(VLOOKUP($A80,Sheet1!$A:$AN,19,0),""))</f>
        <v/>
      </c>
      <c r="T80" s="5" t="str">
        <f t="shared" si="9"/>
        <v/>
      </c>
      <c r="U80" s="5" t="str">
        <f>IF($A80="","",IFERROR(VLOOKUP($A80,Sheet1!$A:$AN,21,0),""))</f>
        <v/>
      </c>
      <c r="V80" s="5" t="str">
        <f>IF($A80="","",IFERROR(SUBSTITUTE(VLOOKUP($A80,Sheet1!$A:$AN,22,0),"族",""),""))</f>
        <v/>
      </c>
      <c r="W80" s="5" t="str">
        <f>IF($A80="","",IFERROR(VLOOKUP($A80,Sheet1!$A:$AN,23,0),""))</f>
        <v/>
      </c>
      <c r="X80" s="5" t="str">
        <f>IF($A80="","",IFERROR(VLOOKUP($A80,Sheet1!$A:$AN,24,0),""))</f>
        <v/>
      </c>
      <c r="Y80" s="5" t="str">
        <f>IF($A80="","",IFERROR(VLOOKUP($A80,Sheet1!$A:$AN,25,0),""))</f>
        <v/>
      </c>
      <c r="AK80" s="5" t="str">
        <f>IF($A80="","",IFERROR(VLOOKUP($A80,Sheet1!$A:$AN,37,0),""))</f>
        <v/>
      </c>
      <c r="AL80" s="13" t="str">
        <f>IF($A80="","",IFERROR(VLOOKUP($A80,Sheet1!$A:$AN,38,0),""))</f>
        <v/>
      </c>
      <c r="AM80" s="13" t="str">
        <f>IF($A80="","",IFERROR(VLOOKUP($A80,Sheet1!$A:$AN,39,0),""))</f>
        <v/>
      </c>
      <c r="AN80" s="13" t="str">
        <f>IF($A80="","",IFERROR(VLOOKUP($A80,Sheet1!$A:$AN,40,0),""))</f>
        <v/>
      </c>
    </row>
    <row r="81" customHeight="1" spans="1:40">
      <c r="A81" s="5" t="str">
        <f>IF(Sheet1!$A81="","",Sheet1!$A81)</f>
        <v/>
      </c>
      <c r="B81" s="5" t="str">
        <f t="shared" si="5"/>
        <v/>
      </c>
      <c r="C81" s="5" t="str">
        <f>IF($A81="","",IFERROR(VLOOKUP($A81,Sheet1!$A:$AN,3,0),""))</f>
        <v/>
      </c>
      <c r="D81" s="5" t="str">
        <f t="shared" si="6"/>
        <v/>
      </c>
      <c r="I81" s="5" t="str">
        <f t="shared" si="7"/>
        <v/>
      </c>
      <c r="M81" s="5" t="str">
        <f t="shared" si="8"/>
        <v/>
      </c>
      <c r="R81" s="5" t="str">
        <f>IF($A81="","",IFERROR(VLOOKUP($A81,Sheet1!A:AN,18,0),""))</f>
        <v/>
      </c>
      <c r="S81" s="5" t="str">
        <f>IF($A81="","",IFERROR(VLOOKUP($A81,Sheet1!$A:$AN,19,0),""))</f>
        <v/>
      </c>
      <c r="T81" s="5" t="str">
        <f t="shared" si="9"/>
        <v/>
      </c>
      <c r="U81" s="5" t="str">
        <f>IF($A81="","",IFERROR(VLOOKUP($A81,Sheet1!$A:$AN,21,0),""))</f>
        <v/>
      </c>
      <c r="V81" s="5" t="str">
        <f>IF($A81="","",IFERROR(SUBSTITUTE(VLOOKUP($A81,Sheet1!$A:$AN,22,0),"族",""),""))</f>
        <v/>
      </c>
      <c r="W81" s="5" t="str">
        <f>IF($A81="","",IFERROR(VLOOKUP($A81,Sheet1!$A:$AN,23,0),""))</f>
        <v/>
      </c>
      <c r="X81" s="5" t="str">
        <f>IF($A81="","",IFERROR(VLOOKUP($A81,Sheet1!$A:$AN,24,0),""))</f>
        <v/>
      </c>
      <c r="Y81" s="5" t="str">
        <f>IF($A81="","",IFERROR(VLOOKUP($A81,Sheet1!$A:$AN,25,0),""))</f>
        <v/>
      </c>
      <c r="AK81" s="5" t="str">
        <f>IF($A81="","",IFERROR(VLOOKUP($A81,Sheet1!$A:$AN,37,0),""))</f>
        <v/>
      </c>
      <c r="AL81" s="13" t="str">
        <f>IF($A81="","",IFERROR(VLOOKUP($A81,Sheet1!$A:$AN,38,0),""))</f>
        <v/>
      </c>
      <c r="AM81" s="13" t="str">
        <f>IF($A81="","",IFERROR(VLOOKUP($A81,Sheet1!$A:$AN,39,0),""))</f>
        <v/>
      </c>
      <c r="AN81" s="13" t="str">
        <f>IF($A81="","",IFERROR(VLOOKUP($A81,Sheet1!$A:$AN,40,0),""))</f>
        <v/>
      </c>
    </row>
    <row r="82" customHeight="1" spans="1:40">
      <c r="A82" s="5" t="str">
        <f>IF(Sheet1!$A82="","",Sheet1!$A82)</f>
        <v/>
      </c>
      <c r="B82" s="5" t="str">
        <f t="shared" si="5"/>
        <v/>
      </c>
      <c r="C82" s="5" t="str">
        <f>IF($A82="","",IFERROR(VLOOKUP($A82,Sheet1!$A:$AN,3,0),""))</f>
        <v/>
      </c>
      <c r="D82" s="5" t="str">
        <f t="shared" si="6"/>
        <v/>
      </c>
      <c r="I82" s="5" t="str">
        <f t="shared" si="7"/>
        <v/>
      </c>
      <c r="M82" s="5" t="str">
        <f t="shared" si="8"/>
        <v/>
      </c>
      <c r="R82" s="5" t="str">
        <f>IF($A82="","",IFERROR(VLOOKUP($A82,Sheet1!A:AN,18,0),""))</f>
        <v/>
      </c>
      <c r="S82" s="5" t="str">
        <f>IF($A82="","",IFERROR(VLOOKUP($A82,Sheet1!$A:$AN,19,0),""))</f>
        <v/>
      </c>
      <c r="T82" s="5" t="str">
        <f t="shared" si="9"/>
        <v/>
      </c>
      <c r="U82" s="5" t="str">
        <f>IF($A82="","",IFERROR(VLOOKUP($A82,Sheet1!$A:$AN,21,0),""))</f>
        <v/>
      </c>
      <c r="V82" s="5" t="str">
        <f>IF($A82="","",IFERROR(SUBSTITUTE(VLOOKUP($A82,Sheet1!$A:$AN,22,0),"族",""),""))</f>
        <v/>
      </c>
      <c r="W82" s="5" t="str">
        <f>IF($A82="","",IFERROR(VLOOKUP($A82,Sheet1!$A:$AN,23,0),""))</f>
        <v/>
      </c>
      <c r="X82" s="5" t="str">
        <f>IF($A82="","",IFERROR(VLOOKUP($A82,Sheet1!$A:$AN,24,0),""))</f>
        <v/>
      </c>
      <c r="Y82" s="5" t="str">
        <f>IF($A82="","",IFERROR(VLOOKUP($A82,Sheet1!$A:$AN,25,0),""))</f>
        <v/>
      </c>
      <c r="AK82" s="5" t="str">
        <f>IF($A82="","",IFERROR(VLOOKUP($A82,Sheet1!$A:$AN,37,0),""))</f>
        <v/>
      </c>
      <c r="AL82" s="13" t="str">
        <f>IF($A82="","",IFERROR(VLOOKUP($A82,Sheet1!$A:$AN,38,0),""))</f>
        <v/>
      </c>
      <c r="AM82" s="13" t="str">
        <f>IF($A82="","",IFERROR(VLOOKUP($A82,Sheet1!$A:$AN,39,0),""))</f>
        <v/>
      </c>
      <c r="AN82" s="13" t="str">
        <f>IF($A82="","",IFERROR(VLOOKUP($A82,Sheet1!$A:$AN,40,0),""))</f>
        <v/>
      </c>
    </row>
    <row r="83" customHeight="1" spans="1:40">
      <c r="A83" s="5" t="str">
        <f>IF(Sheet1!$A83="","",Sheet1!$A83)</f>
        <v/>
      </c>
      <c r="B83" s="5" t="str">
        <f t="shared" si="5"/>
        <v/>
      </c>
      <c r="C83" s="5" t="str">
        <f>IF($A83="","",IFERROR(VLOOKUP($A83,Sheet1!$A:$AN,3,0),""))</f>
        <v/>
      </c>
      <c r="D83" s="5" t="str">
        <f t="shared" si="6"/>
        <v/>
      </c>
      <c r="I83" s="5" t="str">
        <f t="shared" si="7"/>
        <v/>
      </c>
      <c r="M83" s="5" t="str">
        <f t="shared" si="8"/>
        <v/>
      </c>
      <c r="R83" s="5" t="str">
        <f>IF($A83="","",IFERROR(VLOOKUP($A83,Sheet1!A:AN,18,0),""))</f>
        <v/>
      </c>
      <c r="S83" s="5" t="str">
        <f>IF($A83="","",IFERROR(VLOOKUP($A83,Sheet1!$A:$AN,19,0),""))</f>
        <v/>
      </c>
      <c r="T83" s="5" t="str">
        <f t="shared" si="9"/>
        <v/>
      </c>
      <c r="U83" s="5" t="str">
        <f>IF($A83="","",IFERROR(VLOOKUP($A83,Sheet1!$A:$AN,21,0),""))</f>
        <v/>
      </c>
      <c r="V83" s="5" t="str">
        <f>IF($A83="","",IFERROR(SUBSTITUTE(VLOOKUP($A83,Sheet1!$A:$AN,22,0),"族",""),""))</f>
        <v/>
      </c>
      <c r="W83" s="5" t="str">
        <f>IF($A83="","",IFERROR(VLOOKUP($A83,Sheet1!$A:$AN,23,0),""))</f>
        <v/>
      </c>
      <c r="X83" s="5" t="str">
        <f>IF($A83="","",IFERROR(VLOOKUP($A83,Sheet1!$A:$AN,24,0),""))</f>
        <v/>
      </c>
      <c r="Y83" s="5" t="str">
        <f>IF($A83="","",IFERROR(VLOOKUP($A83,Sheet1!$A:$AN,25,0),""))</f>
        <v/>
      </c>
      <c r="AK83" s="5" t="str">
        <f>IF($A83="","",IFERROR(VLOOKUP($A83,Sheet1!$A:$AN,37,0),""))</f>
        <v/>
      </c>
      <c r="AL83" s="13" t="str">
        <f>IF($A83="","",IFERROR(VLOOKUP($A83,Sheet1!$A:$AN,38,0),""))</f>
        <v/>
      </c>
      <c r="AM83" s="13" t="str">
        <f>IF($A83="","",IFERROR(VLOOKUP($A83,Sheet1!$A:$AN,39,0),""))</f>
        <v/>
      </c>
      <c r="AN83" s="13" t="str">
        <f>IF($A83="","",IFERROR(VLOOKUP($A83,Sheet1!$A:$AN,40,0),""))</f>
        <v/>
      </c>
    </row>
    <row r="84" customHeight="1" spans="1:40">
      <c r="A84" s="5" t="str">
        <f>IF(Sheet1!$A84="","",Sheet1!$A84)</f>
        <v/>
      </c>
      <c r="B84" s="5" t="str">
        <f t="shared" si="5"/>
        <v/>
      </c>
      <c r="C84" s="5" t="str">
        <f>IF($A84="","",IFERROR(VLOOKUP($A84,Sheet1!$A:$AN,3,0),""))</f>
        <v/>
      </c>
      <c r="D84" s="5" t="str">
        <f t="shared" si="6"/>
        <v/>
      </c>
      <c r="I84" s="5" t="str">
        <f t="shared" si="7"/>
        <v/>
      </c>
      <c r="M84" s="5" t="str">
        <f t="shared" si="8"/>
        <v/>
      </c>
      <c r="R84" s="5" t="str">
        <f>IF($A84="","",IFERROR(VLOOKUP($A84,Sheet1!A:AN,18,0),""))</f>
        <v/>
      </c>
      <c r="S84" s="5" t="str">
        <f>IF($A84="","",IFERROR(VLOOKUP($A84,Sheet1!$A:$AN,19,0),""))</f>
        <v/>
      </c>
      <c r="T84" s="5" t="str">
        <f t="shared" si="9"/>
        <v/>
      </c>
      <c r="U84" s="5" t="str">
        <f>IF($A84="","",IFERROR(VLOOKUP($A84,Sheet1!$A:$AN,21,0),""))</f>
        <v/>
      </c>
      <c r="V84" s="5" t="str">
        <f>IF($A84="","",IFERROR(SUBSTITUTE(VLOOKUP($A84,Sheet1!$A:$AN,22,0),"族",""),""))</f>
        <v/>
      </c>
      <c r="W84" s="5" t="str">
        <f>IF($A84="","",IFERROR(VLOOKUP($A84,Sheet1!$A:$AN,23,0),""))</f>
        <v/>
      </c>
      <c r="X84" s="5" t="str">
        <f>IF($A84="","",IFERROR(VLOOKUP($A84,Sheet1!$A:$AN,24,0),""))</f>
        <v/>
      </c>
      <c r="Y84" s="5" t="str">
        <f>IF($A84="","",IFERROR(VLOOKUP($A84,Sheet1!$A:$AN,25,0),""))</f>
        <v/>
      </c>
      <c r="AK84" s="5" t="str">
        <f>IF($A84="","",IFERROR(VLOOKUP($A84,Sheet1!$A:$AN,37,0),""))</f>
        <v/>
      </c>
      <c r="AL84" s="13" t="str">
        <f>IF($A84="","",IFERROR(VLOOKUP($A84,Sheet1!$A:$AN,38,0),""))</f>
        <v/>
      </c>
      <c r="AM84" s="13" t="str">
        <f>IF($A84="","",IFERROR(VLOOKUP($A84,Sheet1!$A:$AN,39,0),""))</f>
        <v/>
      </c>
      <c r="AN84" s="13" t="str">
        <f>IF($A84="","",IFERROR(VLOOKUP($A84,Sheet1!$A:$AN,40,0),""))</f>
        <v/>
      </c>
    </row>
    <row r="85" customHeight="1" spans="1:40">
      <c r="A85" s="5" t="str">
        <f>IF(Sheet1!$A85="","",Sheet1!$A85)</f>
        <v/>
      </c>
      <c r="B85" s="5" t="str">
        <f t="shared" si="5"/>
        <v/>
      </c>
      <c r="C85" s="5" t="str">
        <f>IF($A85="","",IFERROR(VLOOKUP($A85,Sheet1!$A:$AN,3,0),""))</f>
        <v/>
      </c>
      <c r="D85" s="5" t="str">
        <f t="shared" si="6"/>
        <v/>
      </c>
      <c r="I85" s="5" t="str">
        <f t="shared" si="7"/>
        <v/>
      </c>
      <c r="M85" s="5" t="str">
        <f t="shared" si="8"/>
        <v/>
      </c>
      <c r="R85" s="5" t="str">
        <f>IF($A85="","",IFERROR(VLOOKUP($A85,Sheet1!A:AN,18,0),""))</f>
        <v/>
      </c>
      <c r="S85" s="5" t="str">
        <f>IF($A85="","",IFERROR(VLOOKUP($A85,Sheet1!$A:$AN,19,0),""))</f>
        <v/>
      </c>
      <c r="T85" s="5" t="str">
        <f t="shared" si="9"/>
        <v/>
      </c>
      <c r="U85" s="5" t="str">
        <f>IF($A85="","",IFERROR(VLOOKUP($A85,Sheet1!$A:$AN,21,0),""))</f>
        <v/>
      </c>
      <c r="V85" s="5" t="str">
        <f>IF($A85="","",IFERROR(SUBSTITUTE(VLOOKUP($A85,Sheet1!$A:$AN,22,0),"族",""),""))</f>
        <v/>
      </c>
      <c r="W85" s="5" t="str">
        <f>IF($A85="","",IFERROR(VLOOKUP($A85,Sheet1!$A:$AN,23,0),""))</f>
        <v/>
      </c>
      <c r="X85" s="5" t="str">
        <f>IF($A85="","",IFERROR(VLOOKUP($A85,Sheet1!$A:$AN,24,0),""))</f>
        <v/>
      </c>
      <c r="Y85" s="5" t="str">
        <f>IF($A85="","",IFERROR(VLOOKUP($A85,Sheet1!$A:$AN,25,0),""))</f>
        <v/>
      </c>
      <c r="AK85" s="5" t="str">
        <f>IF($A85="","",IFERROR(VLOOKUP($A85,Sheet1!$A:$AN,37,0),""))</f>
        <v/>
      </c>
      <c r="AL85" s="13" t="str">
        <f>IF($A85="","",IFERROR(VLOOKUP($A85,Sheet1!$A:$AN,38,0),""))</f>
        <v/>
      </c>
      <c r="AM85" s="13" t="str">
        <f>IF($A85="","",IFERROR(VLOOKUP($A85,Sheet1!$A:$AN,39,0),""))</f>
        <v/>
      </c>
      <c r="AN85" s="13" t="str">
        <f>IF($A85="","",IFERROR(VLOOKUP($A85,Sheet1!$A:$AN,40,0),""))</f>
        <v/>
      </c>
    </row>
    <row r="86" customHeight="1" spans="1:40">
      <c r="A86" s="5" t="str">
        <f>IF(Sheet1!$A86="","",Sheet1!$A86)</f>
        <v/>
      </c>
      <c r="B86" s="5" t="str">
        <f t="shared" si="5"/>
        <v/>
      </c>
      <c r="C86" s="5" t="str">
        <f>IF($A86="","",IFERROR(VLOOKUP($A86,Sheet1!$A:$AN,3,0),""))</f>
        <v/>
      </c>
      <c r="D86" s="5" t="str">
        <f t="shared" si="6"/>
        <v/>
      </c>
      <c r="I86" s="5" t="str">
        <f t="shared" si="7"/>
        <v/>
      </c>
      <c r="M86" s="5" t="str">
        <f t="shared" si="8"/>
        <v/>
      </c>
      <c r="R86" s="5" t="str">
        <f>IF($A86="","",IFERROR(VLOOKUP($A86,Sheet1!A:AN,18,0),""))</f>
        <v/>
      </c>
      <c r="S86" s="5" t="str">
        <f>IF($A86="","",IFERROR(VLOOKUP($A86,Sheet1!$A:$AN,19,0),""))</f>
        <v/>
      </c>
      <c r="T86" s="5" t="str">
        <f t="shared" si="9"/>
        <v/>
      </c>
      <c r="U86" s="5" t="str">
        <f>IF($A86="","",IFERROR(VLOOKUP($A86,Sheet1!$A:$AN,21,0),""))</f>
        <v/>
      </c>
      <c r="V86" s="5" t="str">
        <f>IF($A86="","",IFERROR(SUBSTITUTE(VLOOKUP($A86,Sheet1!$A:$AN,22,0),"族",""),""))</f>
        <v/>
      </c>
      <c r="W86" s="5" t="str">
        <f>IF($A86="","",IFERROR(VLOOKUP($A86,Sheet1!$A:$AN,23,0),""))</f>
        <v/>
      </c>
      <c r="X86" s="5" t="str">
        <f>IF($A86="","",IFERROR(VLOOKUP($A86,Sheet1!$A:$AN,24,0),""))</f>
        <v/>
      </c>
      <c r="Y86" s="5" t="str">
        <f>IF($A86="","",IFERROR(VLOOKUP($A86,Sheet1!$A:$AN,25,0),""))</f>
        <v/>
      </c>
      <c r="AK86" s="5" t="str">
        <f>IF($A86="","",IFERROR(VLOOKUP($A86,Sheet1!$A:$AN,37,0),""))</f>
        <v/>
      </c>
      <c r="AL86" s="13" t="str">
        <f>IF($A86="","",IFERROR(VLOOKUP($A86,Sheet1!$A:$AN,38,0),""))</f>
        <v/>
      </c>
      <c r="AM86" s="13" t="str">
        <f>IF($A86="","",IFERROR(VLOOKUP($A86,Sheet1!$A:$AN,39,0),""))</f>
        <v/>
      </c>
      <c r="AN86" s="13" t="str">
        <f>IF($A86="","",IFERROR(VLOOKUP($A86,Sheet1!$A:$AN,40,0),""))</f>
        <v/>
      </c>
    </row>
    <row r="87" customHeight="1" spans="1:40">
      <c r="A87" s="5" t="str">
        <f>IF(Sheet1!$A87="","",Sheet1!$A87)</f>
        <v/>
      </c>
      <c r="B87" s="5" t="str">
        <f t="shared" si="5"/>
        <v/>
      </c>
      <c r="C87" s="5" t="str">
        <f>IF($A87="","",IFERROR(VLOOKUP($A87,Sheet1!$A:$AN,3,0),""))</f>
        <v/>
      </c>
      <c r="D87" s="5" t="str">
        <f t="shared" si="6"/>
        <v/>
      </c>
      <c r="I87" s="5" t="str">
        <f t="shared" si="7"/>
        <v/>
      </c>
      <c r="M87" s="5" t="str">
        <f t="shared" si="8"/>
        <v/>
      </c>
      <c r="R87" s="5" t="str">
        <f>IF($A87="","",IFERROR(VLOOKUP($A87,Sheet1!A:AN,18,0),""))</f>
        <v/>
      </c>
      <c r="S87" s="5" t="str">
        <f>IF($A87="","",IFERROR(VLOOKUP($A87,Sheet1!$A:$AN,19,0),""))</f>
        <v/>
      </c>
      <c r="T87" s="5" t="str">
        <f t="shared" si="9"/>
        <v/>
      </c>
      <c r="U87" s="5" t="str">
        <f>IF($A87="","",IFERROR(VLOOKUP($A87,Sheet1!$A:$AN,21,0),""))</f>
        <v/>
      </c>
      <c r="V87" s="5" t="str">
        <f>IF($A87="","",IFERROR(SUBSTITUTE(VLOOKUP($A87,Sheet1!$A:$AN,22,0),"族",""),""))</f>
        <v/>
      </c>
      <c r="W87" s="5" t="str">
        <f>IF($A87="","",IFERROR(VLOOKUP($A87,Sheet1!$A:$AN,23,0),""))</f>
        <v/>
      </c>
      <c r="X87" s="5" t="str">
        <f>IF($A87="","",IFERROR(VLOOKUP($A87,Sheet1!$A:$AN,24,0),""))</f>
        <v/>
      </c>
      <c r="Y87" s="5" t="str">
        <f>IF($A87="","",IFERROR(VLOOKUP($A87,Sheet1!$A:$AN,25,0),""))</f>
        <v/>
      </c>
      <c r="AK87" s="5" t="str">
        <f>IF($A87="","",IFERROR(VLOOKUP($A87,Sheet1!$A:$AN,37,0),""))</f>
        <v/>
      </c>
      <c r="AL87" s="13" t="str">
        <f>IF($A87="","",IFERROR(VLOOKUP($A87,Sheet1!$A:$AN,38,0),""))</f>
        <v/>
      </c>
      <c r="AM87" s="13" t="str">
        <f>IF($A87="","",IFERROR(VLOOKUP($A87,Sheet1!$A:$AN,39,0),""))</f>
        <v/>
      </c>
      <c r="AN87" s="13" t="str">
        <f>IF($A87="","",IFERROR(VLOOKUP($A87,Sheet1!$A:$AN,40,0),""))</f>
        <v/>
      </c>
    </row>
    <row r="88" customHeight="1" spans="1:40">
      <c r="A88" s="5" t="str">
        <f>IF(Sheet1!$A88="","",Sheet1!$A88)</f>
        <v/>
      </c>
      <c r="B88" s="5" t="str">
        <f t="shared" si="5"/>
        <v/>
      </c>
      <c r="C88" s="5" t="str">
        <f>IF($A88="","",IFERROR(VLOOKUP($A88,Sheet1!$A:$AN,3,0),""))</f>
        <v/>
      </c>
      <c r="D88" s="5" t="str">
        <f t="shared" si="6"/>
        <v/>
      </c>
      <c r="I88" s="5" t="str">
        <f t="shared" si="7"/>
        <v/>
      </c>
      <c r="M88" s="5" t="str">
        <f t="shared" si="8"/>
        <v/>
      </c>
      <c r="R88" s="5" t="str">
        <f>IF($A88="","",IFERROR(VLOOKUP($A88,Sheet1!A:AN,18,0),""))</f>
        <v/>
      </c>
      <c r="S88" s="5" t="str">
        <f>IF($A88="","",IFERROR(VLOOKUP($A88,Sheet1!$A:$AN,19,0),""))</f>
        <v/>
      </c>
      <c r="T88" s="5" t="str">
        <f t="shared" si="9"/>
        <v/>
      </c>
      <c r="U88" s="5" t="str">
        <f>IF($A88="","",IFERROR(VLOOKUP($A88,Sheet1!$A:$AN,21,0),""))</f>
        <v/>
      </c>
      <c r="V88" s="5" t="str">
        <f>IF($A88="","",IFERROR(SUBSTITUTE(VLOOKUP($A88,Sheet1!$A:$AN,22,0),"族",""),""))</f>
        <v/>
      </c>
      <c r="W88" s="5" t="str">
        <f>IF($A88="","",IFERROR(VLOOKUP($A88,Sheet1!$A:$AN,23,0),""))</f>
        <v/>
      </c>
      <c r="X88" s="5" t="str">
        <f>IF($A88="","",IFERROR(VLOOKUP($A88,Sheet1!$A:$AN,24,0),""))</f>
        <v/>
      </c>
      <c r="Y88" s="5" t="str">
        <f>IF($A88="","",IFERROR(VLOOKUP($A88,Sheet1!$A:$AN,25,0),""))</f>
        <v/>
      </c>
      <c r="AK88" s="5" t="str">
        <f>IF($A88="","",IFERROR(VLOOKUP($A88,Sheet1!$A:$AN,37,0),""))</f>
        <v/>
      </c>
      <c r="AL88" s="13" t="str">
        <f>IF($A88="","",IFERROR(VLOOKUP($A88,Sheet1!$A:$AN,38,0),""))</f>
        <v/>
      </c>
      <c r="AM88" s="13" t="str">
        <f>IF($A88="","",IFERROR(VLOOKUP($A88,Sheet1!$A:$AN,39,0),""))</f>
        <v/>
      </c>
      <c r="AN88" s="13" t="str">
        <f>IF($A88="","",IFERROR(VLOOKUP($A88,Sheet1!$A:$AN,40,0),""))</f>
        <v/>
      </c>
    </row>
    <row r="89" customHeight="1" spans="1:40">
      <c r="A89" s="5" t="str">
        <f>IF(Sheet1!$A89="","",Sheet1!$A89)</f>
        <v/>
      </c>
      <c r="B89" s="5" t="str">
        <f t="shared" si="5"/>
        <v/>
      </c>
      <c r="C89" s="5" t="str">
        <f>IF($A89="","",IFERROR(VLOOKUP($A89,Sheet1!$A:$AN,3,0),""))</f>
        <v/>
      </c>
      <c r="D89" s="5" t="str">
        <f t="shared" si="6"/>
        <v/>
      </c>
      <c r="I89" s="5" t="str">
        <f t="shared" si="7"/>
        <v/>
      </c>
      <c r="M89" s="5" t="str">
        <f t="shared" si="8"/>
        <v/>
      </c>
      <c r="R89" s="5" t="str">
        <f>IF($A89="","",IFERROR(VLOOKUP($A89,Sheet1!A:AN,18,0),""))</f>
        <v/>
      </c>
      <c r="S89" s="5" t="str">
        <f>IF($A89="","",IFERROR(VLOOKUP($A89,Sheet1!$A:$AN,19,0),""))</f>
        <v/>
      </c>
      <c r="T89" s="5" t="str">
        <f t="shared" si="9"/>
        <v/>
      </c>
      <c r="U89" s="5" t="str">
        <f>IF($A89="","",IFERROR(VLOOKUP($A89,Sheet1!$A:$AN,21,0),""))</f>
        <v/>
      </c>
      <c r="V89" s="5" t="str">
        <f>IF($A89="","",IFERROR(SUBSTITUTE(VLOOKUP($A89,Sheet1!$A:$AN,22,0),"族",""),""))</f>
        <v/>
      </c>
      <c r="W89" s="5" t="str">
        <f>IF($A89="","",IFERROR(VLOOKUP($A89,Sheet1!$A:$AN,23,0),""))</f>
        <v/>
      </c>
      <c r="X89" s="5" t="str">
        <f>IF($A89="","",IFERROR(VLOOKUP($A89,Sheet1!$A:$AN,24,0),""))</f>
        <v/>
      </c>
      <c r="Y89" s="5" t="str">
        <f>IF($A89="","",IFERROR(VLOOKUP($A89,Sheet1!$A:$AN,25,0),""))</f>
        <v/>
      </c>
      <c r="AK89" s="5" t="str">
        <f>IF($A89="","",IFERROR(VLOOKUP($A89,Sheet1!$A:$AN,37,0),""))</f>
        <v/>
      </c>
      <c r="AL89" s="13" t="str">
        <f>IF($A89="","",IFERROR(VLOOKUP($A89,Sheet1!$A:$AN,38,0),""))</f>
        <v/>
      </c>
      <c r="AM89" s="13" t="str">
        <f>IF($A89="","",IFERROR(VLOOKUP($A89,Sheet1!$A:$AN,39,0),""))</f>
        <v/>
      </c>
      <c r="AN89" s="13" t="str">
        <f>IF($A89="","",IFERROR(VLOOKUP($A89,Sheet1!$A:$AN,40,0),""))</f>
        <v/>
      </c>
    </row>
    <row r="90" customHeight="1" spans="1:40">
      <c r="A90" s="5" t="str">
        <f>IF(Sheet1!$A90="","",Sheet1!$A90)</f>
        <v/>
      </c>
      <c r="B90" s="5" t="str">
        <f t="shared" si="5"/>
        <v/>
      </c>
      <c r="C90" s="5" t="str">
        <f>IF($A90="","",IFERROR(VLOOKUP($A90,Sheet1!$A:$AN,3,0),""))</f>
        <v/>
      </c>
      <c r="D90" s="5" t="str">
        <f t="shared" si="6"/>
        <v/>
      </c>
      <c r="I90" s="5" t="str">
        <f t="shared" si="7"/>
        <v/>
      </c>
      <c r="M90" s="5" t="str">
        <f t="shared" si="8"/>
        <v/>
      </c>
      <c r="R90" s="5" t="str">
        <f>IF($A90="","",IFERROR(VLOOKUP($A90,Sheet1!A:AN,18,0),""))</f>
        <v/>
      </c>
      <c r="S90" s="5" t="str">
        <f>IF($A90="","",IFERROR(VLOOKUP($A90,Sheet1!$A:$AN,19,0),""))</f>
        <v/>
      </c>
      <c r="T90" s="5" t="str">
        <f t="shared" si="9"/>
        <v/>
      </c>
      <c r="U90" s="5" t="str">
        <f>IF($A90="","",IFERROR(VLOOKUP($A90,Sheet1!$A:$AN,21,0),""))</f>
        <v/>
      </c>
      <c r="V90" s="5" t="str">
        <f>IF($A90="","",IFERROR(SUBSTITUTE(VLOOKUP($A90,Sheet1!$A:$AN,22,0),"族",""),""))</f>
        <v/>
      </c>
      <c r="W90" s="5" t="str">
        <f>IF($A90="","",IFERROR(VLOOKUP($A90,Sheet1!$A:$AN,23,0),""))</f>
        <v/>
      </c>
      <c r="X90" s="5" t="str">
        <f>IF($A90="","",IFERROR(VLOOKUP($A90,Sheet1!$A:$AN,24,0),""))</f>
        <v/>
      </c>
      <c r="Y90" s="5" t="str">
        <f>IF($A90="","",IFERROR(VLOOKUP($A90,Sheet1!$A:$AN,25,0),""))</f>
        <v/>
      </c>
      <c r="AK90" s="5" t="str">
        <f>IF($A90="","",IFERROR(VLOOKUP($A90,Sheet1!$A:$AN,37,0),""))</f>
        <v/>
      </c>
      <c r="AL90" s="13" t="str">
        <f>IF($A90="","",IFERROR(VLOOKUP($A90,Sheet1!$A:$AN,38,0),""))</f>
        <v/>
      </c>
      <c r="AM90" s="13" t="str">
        <f>IF($A90="","",IFERROR(VLOOKUP($A90,Sheet1!$A:$AN,39,0),""))</f>
        <v/>
      </c>
      <c r="AN90" s="13" t="str">
        <f>IF($A90="","",IFERROR(VLOOKUP($A90,Sheet1!$A:$AN,40,0),""))</f>
        <v/>
      </c>
    </row>
    <row r="91" customHeight="1" spans="1:40">
      <c r="A91" s="5" t="str">
        <f>IF(Sheet1!$A91="","",Sheet1!$A91)</f>
        <v/>
      </c>
      <c r="B91" s="5" t="str">
        <f t="shared" si="5"/>
        <v/>
      </c>
      <c r="C91" s="5" t="str">
        <f>IF($A91="","",IFERROR(VLOOKUP($A91,Sheet1!$A:$AN,3,0),""))</f>
        <v/>
      </c>
      <c r="D91" s="5" t="str">
        <f t="shared" si="6"/>
        <v/>
      </c>
      <c r="I91" s="5" t="str">
        <f t="shared" si="7"/>
        <v/>
      </c>
      <c r="M91" s="5" t="str">
        <f t="shared" si="8"/>
        <v/>
      </c>
      <c r="R91" s="5" t="str">
        <f>IF($A91="","",IFERROR(VLOOKUP($A91,Sheet1!A:AN,18,0),""))</f>
        <v/>
      </c>
      <c r="S91" s="5" t="str">
        <f>IF($A91="","",IFERROR(VLOOKUP($A91,Sheet1!$A:$AN,19,0),""))</f>
        <v/>
      </c>
      <c r="T91" s="5" t="str">
        <f t="shared" si="9"/>
        <v/>
      </c>
      <c r="U91" s="5" t="str">
        <f>IF($A91="","",IFERROR(VLOOKUP($A91,Sheet1!$A:$AN,21,0),""))</f>
        <v/>
      </c>
      <c r="V91" s="5" t="str">
        <f>IF($A91="","",IFERROR(SUBSTITUTE(VLOOKUP($A91,Sheet1!$A:$AN,22,0),"族",""),""))</f>
        <v/>
      </c>
      <c r="W91" s="5" t="str">
        <f>IF($A91="","",IFERROR(VLOOKUP($A91,Sheet1!$A:$AN,23,0),""))</f>
        <v/>
      </c>
      <c r="X91" s="5" t="str">
        <f>IF($A91="","",IFERROR(VLOOKUP($A91,Sheet1!$A:$AN,24,0),""))</f>
        <v/>
      </c>
      <c r="Y91" s="5" t="str">
        <f>IF($A91="","",IFERROR(VLOOKUP($A91,Sheet1!$A:$AN,25,0),""))</f>
        <v/>
      </c>
      <c r="AK91" s="5" t="str">
        <f>IF($A91="","",IFERROR(VLOOKUP($A91,Sheet1!$A:$AN,37,0),""))</f>
        <v/>
      </c>
      <c r="AL91" s="13" t="str">
        <f>IF($A91="","",IFERROR(VLOOKUP($A91,Sheet1!$A:$AN,38,0),""))</f>
        <v/>
      </c>
      <c r="AM91" s="13" t="str">
        <f>IF($A91="","",IFERROR(VLOOKUP($A91,Sheet1!$A:$AN,39,0),""))</f>
        <v/>
      </c>
      <c r="AN91" s="13" t="str">
        <f>IF($A91="","",IFERROR(VLOOKUP($A91,Sheet1!$A:$AN,40,0),""))</f>
        <v/>
      </c>
    </row>
    <row r="92" customHeight="1" spans="1:40">
      <c r="A92" s="5" t="str">
        <f>IF(Sheet1!$A92="","",Sheet1!$A92)</f>
        <v/>
      </c>
      <c r="B92" s="5" t="str">
        <f t="shared" si="5"/>
        <v/>
      </c>
      <c r="C92" s="5" t="str">
        <f>IF($A92="","",IFERROR(VLOOKUP($A92,Sheet1!$A:$AN,3,0),""))</f>
        <v/>
      </c>
      <c r="D92" s="5" t="str">
        <f t="shared" si="6"/>
        <v/>
      </c>
      <c r="I92" s="5" t="str">
        <f t="shared" si="7"/>
        <v/>
      </c>
      <c r="M92" s="5" t="str">
        <f t="shared" si="8"/>
        <v/>
      </c>
      <c r="R92" s="5" t="str">
        <f>IF($A92="","",IFERROR(VLOOKUP($A92,Sheet1!A:AN,18,0),""))</f>
        <v/>
      </c>
      <c r="S92" s="5" t="str">
        <f>IF($A92="","",IFERROR(VLOOKUP($A92,Sheet1!$A:$AN,19,0),""))</f>
        <v/>
      </c>
      <c r="T92" s="5" t="str">
        <f t="shared" si="9"/>
        <v/>
      </c>
      <c r="U92" s="5" t="str">
        <f>IF($A92="","",IFERROR(VLOOKUP($A92,Sheet1!$A:$AN,21,0),""))</f>
        <v/>
      </c>
      <c r="V92" s="5" t="str">
        <f>IF($A92="","",IFERROR(SUBSTITUTE(VLOOKUP($A92,Sheet1!$A:$AN,22,0),"族",""),""))</f>
        <v/>
      </c>
      <c r="W92" s="5" t="str">
        <f>IF($A92="","",IFERROR(VLOOKUP($A92,Sheet1!$A:$AN,23,0),""))</f>
        <v/>
      </c>
      <c r="X92" s="5" t="str">
        <f>IF($A92="","",IFERROR(VLOOKUP($A92,Sheet1!$A:$AN,24,0),""))</f>
        <v/>
      </c>
      <c r="Y92" s="5" t="str">
        <f>IF($A92="","",IFERROR(VLOOKUP($A92,Sheet1!$A:$AN,25,0),""))</f>
        <v/>
      </c>
      <c r="AK92" s="5" t="str">
        <f>IF($A92="","",IFERROR(VLOOKUP($A92,Sheet1!$A:$AN,37,0),""))</f>
        <v/>
      </c>
      <c r="AL92" s="13" t="str">
        <f>IF($A92="","",IFERROR(VLOOKUP($A92,Sheet1!$A:$AN,38,0),""))</f>
        <v/>
      </c>
      <c r="AM92" s="13" t="str">
        <f>IF($A92="","",IFERROR(VLOOKUP($A92,Sheet1!$A:$AN,39,0),""))</f>
        <v/>
      </c>
      <c r="AN92" s="13" t="str">
        <f>IF($A92="","",IFERROR(VLOOKUP($A92,Sheet1!$A:$AN,40,0),""))</f>
        <v/>
      </c>
    </row>
    <row r="93" customHeight="1" spans="1:40">
      <c r="A93" s="5" t="str">
        <f>IF(Sheet1!$A93="","",Sheet1!$A93)</f>
        <v/>
      </c>
      <c r="B93" s="5" t="str">
        <f t="shared" si="5"/>
        <v/>
      </c>
      <c r="C93" s="5" t="str">
        <f>IF($A93="","",IFERROR(VLOOKUP($A93,Sheet1!$A:$AN,3,0),""))</f>
        <v/>
      </c>
      <c r="D93" s="5" t="str">
        <f t="shared" si="6"/>
        <v/>
      </c>
      <c r="I93" s="5" t="str">
        <f t="shared" si="7"/>
        <v/>
      </c>
      <c r="M93" s="5" t="str">
        <f t="shared" si="8"/>
        <v/>
      </c>
      <c r="R93" s="5" t="str">
        <f>IF($A93="","",IFERROR(VLOOKUP($A93,Sheet1!A:AN,18,0),""))</f>
        <v/>
      </c>
      <c r="S93" s="5" t="str">
        <f>IF($A93="","",IFERROR(VLOOKUP($A93,Sheet1!$A:$AN,19,0),""))</f>
        <v/>
      </c>
      <c r="T93" s="5" t="str">
        <f t="shared" si="9"/>
        <v/>
      </c>
      <c r="U93" s="5" t="str">
        <f>IF($A93="","",IFERROR(VLOOKUP($A93,Sheet1!$A:$AN,21,0),""))</f>
        <v/>
      </c>
      <c r="V93" s="5" t="str">
        <f>IF($A93="","",IFERROR(SUBSTITUTE(VLOOKUP($A93,Sheet1!$A:$AN,22,0),"族",""),""))</f>
        <v/>
      </c>
      <c r="W93" s="5" t="str">
        <f>IF($A93="","",IFERROR(VLOOKUP($A93,Sheet1!$A:$AN,23,0),""))</f>
        <v/>
      </c>
      <c r="X93" s="5" t="str">
        <f>IF($A93="","",IFERROR(VLOOKUP($A93,Sheet1!$A:$AN,24,0),""))</f>
        <v/>
      </c>
      <c r="Y93" s="5" t="str">
        <f>IF($A93="","",IFERROR(VLOOKUP($A93,Sheet1!$A:$AN,25,0),""))</f>
        <v/>
      </c>
      <c r="AK93" s="5" t="str">
        <f>IF($A93="","",IFERROR(VLOOKUP($A93,Sheet1!$A:$AN,37,0),""))</f>
        <v/>
      </c>
      <c r="AL93" s="13" t="str">
        <f>IF($A93="","",IFERROR(VLOOKUP($A93,Sheet1!$A:$AN,38,0),""))</f>
        <v/>
      </c>
      <c r="AM93" s="13" t="str">
        <f>IF($A93="","",IFERROR(VLOOKUP($A93,Sheet1!$A:$AN,39,0),""))</f>
        <v/>
      </c>
      <c r="AN93" s="13" t="str">
        <f>IF($A93="","",IFERROR(VLOOKUP($A93,Sheet1!$A:$AN,40,0),""))</f>
        <v/>
      </c>
    </row>
    <row r="94" customHeight="1" spans="1:40">
      <c r="A94" s="5" t="str">
        <f>IF(Sheet1!$A94="","",Sheet1!$A94)</f>
        <v/>
      </c>
      <c r="B94" s="5" t="str">
        <f t="shared" si="5"/>
        <v/>
      </c>
      <c r="C94" s="5" t="str">
        <f>IF($A94="","",IFERROR(VLOOKUP($A94,Sheet1!$A:$AN,3,0),""))</f>
        <v/>
      </c>
      <c r="D94" s="5" t="str">
        <f t="shared" si="6"/>
        <v/>
      </c>
      <c r="I94" s="5" t="str">
        <f t="shared" si="7"/>
        <v/>
      </c>
      <c r="M94" s="5" t="str">
        <f t="shared" si="8"/>
        <v/>
      </c>
      <c r="R94" s="5" t="str">
        <f>IF($A94="","",IFERROR(VLOOKUP($A94,Sheet1!A:AN,18,0),""))</f>
        <v/>
      </c>
      <c r="S94" s="5" t="str">
        <f>IF($A94="","",IFERROR(VLOOKUP($A94,Sheet1!$A:$AN,19,0),""))</f>
        <v/>
      </c>
      <c r="T94" s="5" t="str">
        <f t="shared" si="9"/>
        <v/>
      </c>
      <c r="U94" s="5" t="str">
        <f>IF($A94="","",IFERROR(VLOOKUP($A94,Sheet1!$A:$AN,21,0),""))</f>
        <v/>
      </c>
      <c r="V94" s="5" t="str">
        <f>IF($A94="","",IFERROR(SUBSTITUTE(VLOOKUP($A94,Sheet1!$A:$AN,22,0),"族",""),""))</f>
        <v/>
      </c>
      <c r="W94" s="5" t="str">
        <f>IF($A94="","",IFERROR(VLOOKUP($A94,Sheet1!$A:$AN,23,0),""))</f>
        <v/>
      </c>
      <c r="X94" s="5" t="str">
        <f>IF($A94="","",IFERROR(VLOOKUP($A94,Sheet1!$A:$AN,24,0),""))</f>
        <v/>
      </c>
      <c r="Y94" s="5" t="str">
        <f>IF($A94="","",IFERROR(VLOOKUP($A94,Sheet1!$A:$AN,25,0),""))</f>
        <v/>
      </c>
      <c r="AK94" s="5" t="str">
        <f>IF($A94="","",IFERROR(VLOOKUP($A94,Sheet1!$A:$AN,37,0),""))</f>
        <v/>
      </c>
      <c r="AL94" s="13" t="str">
        <f>IF($A94="","",IFERROR(VLOOKUP($A94,Sheet1!$A:$AN,38,0),""))</f>
        <v/>
      </c>
      <c r="AM94" s="13" t="str">
        <f>IF($A94="","",IFERROR(VLOOKUP($A94,Sheet1!$A:$AN,39,0),""))</f>
        <v/>
      </c>
      <c r="AN94" s="13" t="str">
        <f>IF($A94="","",IFERROR(VLOOKUP($A94,Sheet1!$A:$AN,40,0),""))</f>
        <v/>
      </c>
    </row>
    <row r="95" customHeight="1" spans="1:40">
      <c r="A95" s="5" t="str">
        <f>IF(Sheet1!$A95="","",Sheet1!$A95)</f>
        <v/>
      </c>
      <c r="B95" s="5" t="str">
        <f t="shared" si="5"/>
        <v/>
      </c>
      <c r="C95" s="5" t="str">
        <f>IF($A95="","",IFERROR(VLOOKUP($A95,Sheet1!$A:$AN,3,0),""))</f>
        <v/>
      </c>
      <c r="D95" s="5" t="str">
        <f t="shared" si="6"/>
        <v/>
      </c>
      <c r="I95" s="5" t="str">
        <f t="shared" si="7"/>
        <v/>
      </c>
      <c r="M95" s="5" t="str">
        <f t="shared" si="8"/>
        <v/>
      </c>
      <c r="R95" s="5" t="str">
        <f>IF($A95="","",IFERROR(VLOOKUP($A95,Sheet1!A:AN,18,0),""))</f>
        <v/>
      </c>
      <c r="S95" s="5" t="str">
        <f>IF($A95="","",IFERROR(VLOOKUP($A95,Sheet1!$A:$AN,19,0),""))</f>
        <v/>
      </c>
      <c r="T95" s="5" t="str">
        <f t="shared" si="9"/>
        <v/>
      </c>
      <c r="U95" s="5" t="str">
        <f>IF($A95="","",IFERROR(VLOOKUP($A95,Sheet1!$A:$AN,21,0),""))</f>
        <v/>
      </c>
      <c r="V95" s="5" t="str">
        <f>IF($A95="","",IFERROR(SUBSTITUTE(VLOOKUP($A95,Sheet1!$A:$AN,22,0),"族",""),""))</f>
        <v/>
      </c>
      <c r="W95" s="5" t="str">
        <f>IF($A95="","",IFERROR(VLOOKUP($A95,Sheet1!$A:$AN,23,0),""))</f>
        <v/>
      </c>
      <c r="X95" s="5" t="str">
        <f>IF($A95="","",IFERROR(VLOOKUP($A95,Sheet1!$A:$AN,24,0),""))</f>
        <v/>
      </c>
      <c r="Y95" s="5" t="str">
        <f>IF($A95="","",IFERROR(VLOOKUP($A95,Sheet1!$A:$AN,25,0),""))</f>
        <v/>
      </c>
      <c r="AK95" s="5" t="str">
        <f>IF($A95="","",IFERROR(VLOOKUP($A95,Sheet1!$A:$AN,37,0),""))</f>
        <v/>
      </c>
      <c r="AL95" s="13" t="str">
        <f>IF($A95="","",IFERROR(VLOOKUP($A95,Sheet1!$A:$AN,38,0),""))</f>
        <v/>
      </c>
      <c r="AM95" s="13" t="str">
        <f>IF($A95="","",IFERROR(VLOOKUP($A95,Sheet1!$A:$AN,39,0),""))</f>
        <v/>
      </c>
      <c r="AN95" s="13" t="str">
        <f>IF($A95="","",IFERROR(VLOOKUP($A95,Sheet1!$A:$AN,40,0),""))</f>
        <v/>
      </c>
    </row>
    <row r="96" customHeight="1" spans="1:40">
      <c r="A96" s="5" t="str">
        <f>IF(Sheet1!$A96="","",Sheet1!$A96)</f>
        <v/>
      </c>
      <c r="B96" s="5" t="str">
        <f t="shared" si="5"/>
        <v/>
      </c>
      <c r="C96" s="5" t="str">
        <f>IF($A96="","",IFERROR(VLOOKUP($A96,Sheet1!$A:$AN,3,0),""))</f>
        <v/>
      </c>
      <c r="D96" s="5" t="str">
        <f t="shared" si="6"/>
        <v/>
      </c>
      <c r="I96" s="5" t="str">
        <f t="shared" si="7"/>
        <v/>
      </c>
      <c r="M96" s="5" t="str">
        <f t="shared" si="8"/>
        <v/>
      </c>
      <c r="R96" s="5" t="str">
        <f>IF($A96="","",IFERROR(VLOOKUP($A96,Sheet1!A:AN,18,0),""))</f>
        <v/>
      </c>
      <c r="S96" s="5" t="str">
        <f>IF($A96="","",IFERROR(VLOOKUP($A96,Sheet1!$A:$AN,19,0),""))</f>
        <v/>
      </c>
      <c r="T96" s="5" t="str">
        <f t="shared" si="9"/>
        <v/>
      </c>
      <c r="U96" s="5" t="str">
        <f>IF($A96="","",IFERROR(VLOOKUP($A96,Sheet1!$A:$AN,21,0),""))</f>
        <v/>
      </c>
      <c r="V96" s="5" t="str">
        <f>IF($A96="","",IFERROR(SUBSTITUTE(VLOOKUP($A96,Sheet1!$A:$AN,22,0),"族",""),""))</f>
        <v/>
      </c>
      <c r="W96" s="5" t="str">
        <f>IF($A96="","",IFERROR(VLOOKUP($A96,Sheet1!$A:$AN,23,0),""))</f>
        <v/>
      </c>
      <c r="X96" s="5" t="str">
        <f>IF($A96="","",IFERROR(VLOOKUP($A96,Sheet1!$A:$AN,24,0),""))</f>
        <v/>
      </c>
      <c r="Y96" s="5" t="str">
        <f>IF($A96="","",IFERROR(VLOOKUP($A96,Sheet1!$A:$AN,25,0),""))</f>
        <v/>
      </c>
      <c r="AK96" s="5" t="str">
        <f>IF($A96="","",IFERROR(VLOOKUP($A96,Sheet1!$A:$AN,37,0),""))</f>
        <v/>
      </c>
      <c r="AL96" s="13" t="str">
        <f>IF($A96="","",IFERROR(VLOOKUP($A96,Sheet1!$A:$AN,38,0),""))</f>
        <v/>
      </c>
      <c r="AM96" s="13" t="str">
        <f>IF($A96="","",IFERROR(VLOOKUP($A96,Sheet1!$A:$AN,39,0),""))</f>
        <v/>
      </c>
      <c r="AN96" s="13" t="str">
        <f>IF($A96="","",IFERROR(VLOOKUP($A96,Sheet1!$A:$AN,40,0),""))</f>
        <v/>
      </c>
    </row>
    <row r="97" customHeight="1" spans="1:40">
      <c r="A97" s="5" t="str">
        <f>IF(Sheet1!$A97="","",Sheet1!$A97)</f>
        <v/>
      </c>
      <c r="B97" s="5" t="str">
        <f t="shared" si="5"/>
        <v/>
      </c>
      <c r="C97" s="5" t="str">
        <f>IF($A97="","",IFERROR(VLOOKUP($A97,Sheet1!$A:$AN,3,0),""))</f>
        <v/>
      </c>
      <c r="D97" s="5" t="str">
        <f t="shared" si="6"/>
        <v/>
      </c>
      <c r="I97" s="5" t="str">
        <f t="shared" si="7"/>
        <v/>
      </c>
      <c r="M97" s="5" t="str">
        <f t="shared" si="8"/>
        <v/>
      </c>
      <c r="R97" s="5" t="str">
        <f>IF($A97="","",IFERROR(VLOOKUP($A97,Sheet1!A:AN,18,0),""))</f>
        <v/>
      </c>
      <c r="S97" s="5" t="str">
        <f>IF($A97="","",IFERROR(VLOOKUP($A97,Sheet1!$A:$AN,19,0),""))</f>
        <v/>
      </c>
      <c r="T97" s="5" t="str">
        <f t="shared" si="9"/>
        <v/>
      </c>
      <c r="U97" s="5" t="str">
        <f>IF($A97="","",IFERROR(VLOOKUP($A97,Sheet1!$A:$AN,21,0),""))</f>
        <v/>
      </c>
      <c r="V97" s="5" t="str">
        <f>IF($A97="","",IFERROR(SUBSTITUTE(VLOOKUP($A97,Sheet1!$A:$AN,22,0),"族",""),""))</f>
        <v/>
      </c>
      <c r="W97" s="5" t="str">
        <f>IF($A97="","",IFERROR(VLOOKUP($A97,Sheet1!$A:$AN,23,0),""))</f>
        <v/>
      </c>
      <c r="X97" s="5" t="str">
        <f>IF($A97="","",IFERROR(VLOOKUP($A97,Sheet1!$A:$AN,24,0),""))</f>
        <v/>
      </c>
      <c r="Y97" s="5" t="str">
        <f>IF($A97="","",IFERROR(VLOOKUP($A97,Sheet1!$A:$AN,25,0),""))</f>
        <v/>
      </c>
      <c r="AK97" s="5" t="str">
        <f>IF($A97="","",IFERROR(VLOOKUP($A97,Sheet1!$A:$AN,37,0),""))</f>
        <v/>
      </c>
      <c r="AL97" s="13" t="str">
        <f>IF($A97="","",IFERROR(VLOOKUP($A97,Sheet1!$A:$AN,38,0),""))</f>
        <v/>
      </c>
      <c r="AM97" s="13" t="str">
        <f>IF($A97="","",IFERROR(VLOOKUP($A97,Sheet1!$A:$AN,39,0),""))</f>
        <v/>
      </c>
      <c r="AN97" s="13" t="str">
        <f>IF($A97="","",IFERROR(VLOOKUP($A97,Sheet1!$A:$AN,40,0),""))</f>
        <v/>
      </c>
    </row>
    <row r="98" customHeight="1" spans="1:40">
      <c r="A98" s="5" t="str">
        <f>IF(Sheet1!$A98="","",Sheet1!$A98)</f>
        <v/>
      </c>
      <c r="B98" s="5" t="str">
        <f t="shared" si="5"/>
        <v/>
      </c>
      <c r="C98" s="5" t="str">
        <f>IF($A98="","",IFERROR(VLOOKUP($A98,Sheet1!$A:$AN,3,0),""))</f>
        <v/>
      </c>
      <c r="D98" s="5" t="str">
        <f t="shared" si="6"/>
        <v/>
      </c>
      <c r="I98" s="5" t="str">
        <f t="shared" si="7"/>
        <v/>
      </c>
      <c r="M98" s="5" t="str">
        <f t="shared" si="8"/>
        <v/>
      </c>
      <c r="R98" s="5" t="str">
        <f>IF($A98="","",IFERROR(VLOOKUP($A98,Sheet1!A:AN,18,0),""))</f>
        <v/>
      </c>
      <c r="S98" s="5" t="str">
        <f>IF($A98="","",IFERROR(VLOOKUP($A98,Sheet1!$A:$AN,19,0),""))</f>
        <v/>
      </c>
      <c r="T98" s="5" t="str">
        <f t="shared" si="9"/>
        <v/>
      </c>
      <c r="U98" s="5" t="str">
        <f>IF($A98="","",IFERROR(VLOOKUP($A98,Sheet1!$A:$AN,21,0),""))</f>
        <v/>
      </c>
      <c r="V98" s="5" t="str">
        <f>IF($A98="","",IFERROR(SUBSTITUTE(VLOOKUP($A98,Sheet1!$A:$AN,22,0),"族",""),""))</f>
        <v/>
      </c>
      <c r="W98" s="5" t="str">
        <f>IF($A98="","",IFERROR(VLOOKUP($A98,Sheet1!$A:$AN,23,0),""))</f>
        <v/>
      </c>
      <c r="X98" s="5" t="str">
        <f>IF($A98="","",IFERROR(VLOOKUP($A98,Sheet1!$A:$AN,24,0),""))</f>
        <v/>
      </c>
      <c r="Y98" s="5" t="str">
        <f>IF($A98="","",IFERROR(VLOOKUP($A98,Sheet1!$A:$AN,25,0),""))</f>
        <v/>
      </c>
      <c r="AK98" s="5" t="str">
        <f>IF($A98="","",IFERROR(VLOOKUP($A98,Sheet1!$A:$AN,37,0),""))</f>
        <v/>
      </c>
      <c r="AL98" s="13" t="str">
        <f>IF($A98="","",IFERROR(VLOOKUP($A98,Sheet1!$A:$AN,38,0),""))</f>
        <v/>
      </c>
      <c r="AM98" s="13" t="str">
        <f>IF($A98="","",IFERROR(VLOOKUP($A98,Sheet1!$A:$AN,39,0),""))</f>
        <v/>
      </c>
      <c r="AN98" s="13" t="str">
        <f>IF($A98="","",IFERROR(VLOOKUP($A98,Sheet1!$A:$AN,40,0),""))</f>
        <v/>
      </c>
    </row>
    <row r="99" customHeight="1" spans="1:40">
      <c r="A99" s="5" t="str">
        <f>IF(Sheet1!$A99="","",Sheet1!$A99)</f>
        <v/>
      </c>
      <c r="B99" s="5" t="str">
        <f t="shared" si="5"/>
        <v/>
      </c>
      <c r="C99" s="5" t="str">
        <f>IF($A99="","",IFERROR(VLOOKUP($A99,Sheet1!$A:$AN,3,0),""))</f>
        <v/>
      </c>
      <c r="D99" s="5" t="str">
        <f t="shared" si="6"/>
        <v/>
      </c>
      <c r="I99" s="5" t="str">
        <f t="shared" si="7"/>
        <v/>
      </c>
      <c r="M99" s="5" t="str">
        <f t="shared" si="8"/>
        <v/>
      </c>
      <c r="R99" s="5" t="str">
        <f>IF($A99="","",IFERROR(VLOOKUP($A99,Sheet1!A:AN,18,0),""))</f>
        <v/>
      </c>
      <c r="S99" s="5" t="str">
        <f>IF($A99="","",IFERROR(VLOOKUP($A99,Sheet1!$A:$AN,19,0),""))</f>
        <v/>
      </c>
      <c r="T99" s="5" t="str">
        <f t="shared" si="9"/>
        <v/>
      </c>
      <c r="U99" s="5" t="str">
        <f>IF($A99="","",IFERROR(VLOOKUP($A99,Sheet1!$A:$AN,21,0),""))</f>
        <v/>
      </c>
      <c r="V99" s="5" t="str">
        <f>IF($A99="","",IFERROR(SUBSTITUTE(VLOOKUP($A99,Sheet1!$A:$AN,22,0),"族",""),""))</f>
        <v/>
      </c>
      <c r="W99" s="5" t="str">
        <f>IF($A99="","",IFERROR(VLOOKUP($A99,Sheet1!$A:$AN,23,0),""))</f>
        <v/>
      </c>
      <c r="X99" s="5" t="str">
        <f>IF($A99="","",IFERROR(VLOOKUP($A99,Sheet1!$A:$AN,24,0),""))</f>
        <v/>
      </c>
      <c r="Y99" s="5" t="str">
        <f>IF($A99="","",IFERROR(VLOOKUP($A99,Sheet1!$A:$AN,25,0),""))</f>
        <v/>
      </c>
      <c r="AK99" s="5" t="str">
        <f>IF($A99="","",IFERROR(VLOOKUP($A99,Sheet1!$A:$AN,37,0),""))</f>
        <v/>
      </c>
      <c r="AL99" s="13" t="str">
        <f>IF($A99="","",IFERROR(VLOOKUP($A99,Sheet1!$A:$AN,38,0),""))</f>
        <v/>
      </c>
      <c r="AM99" s="13" t="str">
        <f>IF($A99="","",IFERROR(VLOOKUP($A99,Sheet1!$A:$AN,39,0),""))</f>
        <v/>
      </c>
      <c r="AN99" s="13" t="str">
        <f>IF($A99="","",IFERROR(VLOOKUP($A99,Sheet1!$A:$AN,40,0),""))</f>
        <v/>
      </c>
    </row>
    <row r="100" customHeight="1" spans="1:40">
      <c r="A100" s="5" t="str">
        <f>IF(Sheet1!$A100="","",Sheet1!$A100)</f>
        <v/>
      </c>
      <c r="B100" s="5" t="str">
        <f t="shared" si="5"/>
        <v/>
      </c>
      <c r="C100" s="5" t="str">
        <f>IF($A100="","",IFERROR(VLOOKUP($A100,Sheet1!$A:$AN,3,0),""))</f>
        <v/>
      </c>
      <c r="D100" s="5" t="str">
        <f t="shared" si="6"/>
        <v/>
      </c>
      <c r="I100" s="5" t="str">
        <f t="shared" si="7"/>
        <v/>
      </c>
      <c r="M100" s="5" t="str">
        <f t="shared" si="8"/>
        <v/>
      </c>
      <c r="R100" s="5" t="str">
        <f>IF($A100="","",IFERROR(VLOOKUP($A100,Sheet1!A:AN,18,0),""))</f>
        <v/>
      </c>
      <c r="S100" s="5" t="str">
        <f>IF($A100="","",IFERROR(VLOOKUP($A100,Sheet1!$A:$AN,19,0),""))</f>
        <v/>
      </c>
      <c r="T100" s="5" t="str">
        <f t="shared" si="9"/>
        <v/>
      </c>
      <c r="U100" s="5" t="str">
        <f>IF($A100="","",IFERROR(VLOOKUP($A100,Sheet1!$A:$AN,21,0),""))</f>
        <v/>
      </c>
      <c r="V100" s="5" t="str">
        <f>IF($A100="","",IFERROR(SUBSTITUTE(VLOOKUP($A100,Sheet1!$A:$AN,22,0),"族",""),""))</f>
        <v/>
      </c>
      <c r="W100" s="5" t="str">
        <f>IF($A100="","",IFERROR(VLOOKUP($A100,Sheet1!$A:$AN,23,0),""))</f>
        <v/>
      </c>
      <c r="X100" s="5" t="str">
        <f>IF($A100="","",IFERROR(VLOOKUP($A100,Sheet1!$A:$AN,24,0),""))</f>
        <v/>
      </c>
      <c r="Y100" s="5" t="str">
        <f>IF($A100="","",IFERROR(VLOOKUP($A100,Sheet1!$A:$AN,25,0),""))</f>
        <v/>
      </c>
      <c r="AK100" s="5" t="str">
        <f>IF($A100="","",IFERROR(VLOOKUP($A100,Sheet1!$A:$AN,37,0),""))</f>
        <v/>
      </c>
      <c r="AL100" s="13" t="str">
        <f>IF($A100="","",IFERROR(VLOOKUP($A100,Sheet1!$A:$AN,38,0),""))</f>
        <v/>
      </c>
      <c r="AM100" s="13" t="str">
        <f>IF($A100="","",IFERROR(VLOOKUP($A100,Sheet1!$A:$AN,39,0),""))</f>
        <v/>
      </c>
      <c r="AN100" s="13" t="str">
        <f>IF($A100="","",IFERROR(VLOOKUP($A100,Sheet1!$A:$AN,40,0),""))</f>
        <v/>
      </c>
    </row>
    <row r="101" customHeight="1" spans="1:40">
      <c r="A101" s="5" t="str">
        <f>IF(Sheet1!$A101="","",Sheet1!$A101)</f>
        <v/>
      </c>
      <c r="B101" s="5" t="str">
        <f t="shared" si="5"/>
        <v/>
      </c>
      <c r="C101" s="5" t="str">
        <f>IF($A101="","",IFERROR(VLOOKUP($A101,Sheet1!$A:$AN,3,0),""))</f>
        <v/>
      </c>
      <c r="D101" s="5" t="str">
        <f t="shared" si="6"/>
        <v/>
      </c>
      <c r="I101" s="5" t="str">
        <f t="shared" si="7"/>
        <v/>
      </c>
      <c r="M101" s="5" t="str">
        <f t="shared" si="8"/>
        <v/>
      </c>
      <c r="R101" s="5" t="str">
        <f>IF($A101="","",IFERROR(VLOOKUP($A101,Sheet1!A:AN,18,0),""))</f>
        <v/>
      </c>
      <c r="S101" s="5" t="str">
        <f>IF($A101="","",IFERROR(VLOOKUP($A101,Sheet1!$A:$AN,19,0),""))</f>
        <v/>
      </c>
      <c r="T101" s="5" t="str">
        <f t="shared" si="9"/>
        <v/>
      </c>
      <c r="U101" s="5" t="str">
        <f>IF($A101="","",IFERROR(VLOOKUP($A101,Sheet1!$A:$AN,21,0),""))</f>
        <v/>
      </c>
      <c r="V101" s="5" t="str">
        <f>IF($A101="","",IFERROR(SUBSTITUTE(VLOOKUP($A101,Sheet1!$A:$AN,22,0),"族",""),""))</f>
        <v/>
      </c>
      <c r="W101" s="5" t="str">
        <f>IF($A101="","",IFERROR(VLOOKUP($A101,Sheet1!$A:$AN,23,0),""))</f>
        <v/>
      </c>
      <c r="X101" s="5" t="str">
        <f>IF($A101="","",IFERROR(VLOOKUP($A101,Sheet1!$A:$AN,24,0),""))</f>
        <v/>
      </c>
      <c r="Y101" s="5" t="str">
        <f>IF($A101="","",IFERROR(VLOOKUP($A101,Sheet1!$A:$AN,25,0),""))</f>
        <v/>
      </c>
      <c r="AK101" s="5" t="str">
        <f>IF($A101="","",IFERROR(VLOOKUP($A101,Sheet1!$A:$AN,37,0),""))</f>
        <v/>
      </c>
      <c r="AL101" s="13" t="str">
        <f>IF($A101="","",IFERROR(VLOOKUP($A101,Sheet1!$A:$AN,38,0),""))</f>
        <v/>
      </c>
      <c r="AM101" s="13" t="str">
        <f>IF($A101="","",IFERROR(VLOOKUP($A101,Sheet1!$A:$AN,39,0),""))</f>
        <v/>
      </c>
      <c r="AN101" s="13" t="str">
        <f>IF($A101="","",IFERROR(VLOOKUP($A101,Sheet1!$A:$AN,40,0),""))</f>
        <v/>
      </c>
    </row>
    <row r="102" customHeight="1" spans="1:40">
      <c r="A102" s="5" t="str">
        <f>IF(Sheet1!$A102="","",Sheet1!$A102)</f>
        <v/>
      </c>
      <c r="B102" s="5" t="str">
        <f t="shared" si="5"/>
        <v/>
      </c>
      <c r="C102" s="5" t="str">
        <f>IF($A102="","",IFERROR(VLOOKUP($A102,Sheet1!$A:$AN,3,0),""))</f>
        <v/>
      </c>
      <c r="D102" s="5" t="str">
        <f t="shared" si="6"/>
        <v/>
      </c>
      <c r="I102" s="5" t="str">
        <f t="shared" si="7"/>
        <v/>
      </c>
      <c r="M102" s="5" t="str">
        <f t="shared" si="8"/>
        <v/>
      </c>
      <c r="R102" s="5" t="str">
        <f>IF($A102="","",IFERROR(VLOOKUP($A102,Sheet1!A:AN,18,0),""))</f>
        <v/>
      </c>
      <c r="S102" s="5" t="str">
        <f>IF($A102="","",IFERROR(VLOOKUP($A102,Sheet1!$A:$AN,19,0),""))</f>
        <v/>
      </c>
      <c r="T102" s="5" t="str">
        <f t="shared" si="9"/>
        <v/>
      </c>
      <c r="U102" s="5" t="str">
        <f>IF($A102="","",IFERROR(VLOOKUP($A102,Sheet1!$A:$AN,21,0),""))</f>
        <v/>
      </c>
      <c r="V102" s="5" t="str">
        <f>IF($A102="","",IFERROR(SUBSTITUTE(VLOOKUP($A102,Sheet1!$A:$AN,22,0),"族",""),""))</f>
        <v/>
      </c>
      <c r="W102" s="5" t="str">
        <f>IF($A102="","",IFERROR(VLOOKUP($A102,Sheet1!$A:$AN,23,0),""))</f>
        <v/>
      </c>
      <c r="X102" s="5" t="str">
        <f>IF($A102="","",IFERROR(VLOOKUP($A102,Sheet1!$A:$AN,24,0),""))</f>
        <v/>
      </c>
      <c r="Y102" s="5" t="str">
        <f>IF($A102="","",IFERROR(VLOOKUP($A102,Sheet1!$A:$AN,25,0),""))</f>
        <v/>
      </c>
      <c r="AK102" s="5" t="str">
        <f>IF($A102="","",IFERROR(VLOOKUP($A102,Sheet1!$A:$AN,37,0),""))</f>
        <v/>
      </c>
      <c r="AL102" s="13" t="str">
        <f>IF($A102="","",IFERROR(VLOOKUP($A102,Sheet1!$A:$AN,38,0),""))</f>
        <v/>
      </c>
      <c r="AM102" s="13" t="str">
        <f>IF($A102="","",IFERROR(VLOOKUP($A102,Sheet1!$A:$AN,39,0),""))</f>
        <v/>
      </c>
      <c r="AN102" s="13" t="str">
        <f>IF($A102="","",IFERROR(VLOOKUP($A102,Sheet1!$A:$AN,40,0),""))</f>
        <v/>
      </c>
    </row>
    <row r="103" customHeight="1" spans="1:40">
      <c r="A103" s="5" t="str">
        <f>IF(Sheet1!$A103="","",Sheet1!$A103)</f>
        <v/>
      </c>
      <c r="B103" s="5" t="str">
        <f t="shared" si="5"/>
        <v/>
      </c>
      <c r="C103" s="5" t="str">
        <f>IF($A103="","",IFERROR(VLOOKUP($A103,Sheet1!$A:$AN,3,0),""))</f>
        <v/>
      </c>
      <c r="D103" s="5" t="str">
        <f t="shared" si="6"/>
        <v/>
      </c>
      <c r="I103" s="5" t="str">
        <f t="shared" si="7"/>
        <v/>
      </c>
      <c r="M103" s="5" t="str">
        <f t="shared" si="8"/>
        <v/>
      </c>
      <c r="R103" s="5" t="str">
        <f>IF($A103="","",IFERROR(VLOOKUP($A103,Sheet1!A:AN,18,0),""))</f>
        <v/>
      </c>
      <c r="S103" s="5" t="str">
        <f>IF($A103="","",IFERROR(VLOOKUP($A103,Sheet1!$A:$AN,19,0),""))</f>
        <v/>
      </c>
      <c r="T103" s="5" t="str">
        <f t="shared" si="9"/>
        <v/>
      </c>
      <c r="U103" s="5" t="str">
        <f>IF($A103="","",IFERROR(VLOOKUP($A103,Sheet1!$A:$AN,21,0),""))</f>
        <v/>
      </c>
      <c r="V103" s="5" t="str">
        <f>IF($A103="","",IFERROR(SUBSTITUTE(VLOOKUP($A103,Sheet1!$A:$AN,22,0),"族",""),""))</f>
        <v/>
      </c>
      <c r="W103" s="5" t="str">
        <f>IF($A103="","",IFERROR(VLOOKUP($A103,Sheet1!$A:$AN,23,0),""))</f>
        <v/>
      </c>
      <c r="X103" s="5" t="str">
        <f>IF($A103="","",IFERROR(VLOOKUP($A103,Sheet1!$A:$AN,24,0),""))</f>
        <v/>
      </c>
      <c r="Y103" s="5" t="str">
        <f>IF($A103="","",IFERROR(VLOOKUP($A103,Sheet1!$A:$AN,25,0),""))</f>
        <v/>
      </c>
      <c r="AK103" s="5" t="str">
        <f>IF($A103="","",IFERROR(VLOOKUP($A103,Sheet1!$A:$AN,37,0),""))</f>
        <v/>
      </c>
      <c r="AL103" s="13" t="str">
        <f>IF($A103="","",IFERROR(VLOOKUP($A103,Sheet1!$A:$AN,38,0),""))</f>
        <v/>
      </c>
      <c r="AM103" s="13" t="str">
        <f>IF($A103="","",IFERROR(VLOOKUP($A103,Sheet1!$A:$AN,39,0),""))</f>
        <v/>
      </c>
      <c r="AN103" s="13" t="str">
        <f>IF($A103="","",IFERROR(VLOOKUP($A103,Sheet1!$A:$AN,40,0),""))</f>
        <v/>
      </c>
    </row>
    <row r="104" customHeight="1" spans="1:40">
      <c r="A104" s="5" t="str">
        <f>IF(Sheet1!$A104="","",Sheet1!$A104)</f>
        <v/>
      </c>
      <c r="B104" s="5" t="str">
        <f t="shared" si="5"/>
        <v/>
      </c>
      <c r="C104" s="5" t="str">
        <f>IF($A104="","",IFERROR(VLOOKUP($A104,Sheet1!$A:$AN,3,0),""))</f>
        <v/>
      </c>
      <c r="D104" s="5" t="str">
        <f t="shared" si="6"/>
        <v/>
      </c>
      <c r="I104" s="5" t="str">
        <f t="shared" si="7"/>
        <v/>
      </c>
      <c r="M104" s="5" t="str">
        <f t="shared" si="8"/>
        <v/>
      </c>
      <c r="R104" s="5" t="str">
        <f>IF($A104="","",IFERROR(VLOOKUP($A104,Sheet1!A:AN,18,0),""))</f>
        <v/>
      </c>
      <c r="S104" s="5" t="str">
        <f>IF($A104="","",IFERROR(VLOOKUP($A104,Sheet1!$A:$AN,19,0),""))</f>
        <v/>
      </c>
      <c r="T104" s="5" t="str">
        <f t="shared" si="9"/>
        <v/>
      </c>
      <c r="U104" s="5" t="str">
        <f>IF($A104="","",IFERROR(VLOOKUP($A104,Sheet1!$A:$AN,21,0),""))</f>
        <v/>
      </c>
      <c r="V104" s="5" t="str">
        <f>IF($A104="","",IFERROR(SUBSTITUTE(VLOOKUP($A104,Sheet1!$A:$AN,22,0),"族",""),""))</f>
        <v/>
      </c>
      <c r="W104" s="5" t="str">
        <f>IF($A104="","",IFERROR(VLOOKUP($A104,Sheet1!$A:$AN,23,0),""))</f>
        <v/>
      </c>
      <c r="X104" s="5" t="str">
        <f>IF($A104="","",IFERROR(VLOOKUP($A104,Sheet1!$A:$AN,24,0),""))</f>
        <v/>
      </c>
      <c r="Y104" s="5" t="str">
        <f>IF($A104="","",IFERROR(VLOOKUP($A104,Sheet1!$A:$AN,25,0),""))</f>
        <v/>
      </c>
      <c r="AK104" s="5" t="str">
        <f>IF($A104="","",IFERROR(VLOOKUP($A104,Sheet1!$A:$AN,37,0),""))</f>
        <v/>
      </c>
      <c r="AL104" s="13" t="str">
        <f>IF($A104="","",IFERROR(VLOOKUP($A104,Sheet1!$A:$AN,38,0),""))</f>
        <v/>
      </c>
      <c r="AM104" s="13" t="str">
        <f>IF($A104="","",IFERROR(VLOOKUP($A104,Sheet1!$A:$AN,39,0),""))</f>
        <v/>
      </c>
      <c r="AN104" s="13" t="str">
        <f>IF($A104="","",IFERROR(VLOOKUP($A104,Sheet1!$A:$AN,40,0),""))</f>
        <v/>
      </c>
    </row>
    <row r="105" customHeight="1" spans="1:40">
      <c r="A105" s="5" t="str">
        <f>IF(Sheet1!$A105="","",Sheet1!$A105)</f>
        <v/>
      </c>
      <c r="B105" s="5" t="str">
        <f t="shared" si="5"/>
        <v/>
      </c>
      <c r="C105" s="5" t="str">
        <f>IF($A105="","",IFERROR(VLOOKUP($A105,Sheet1!$A:$AN,3,0),""))</f>
        <v/>
      </c>
      <c r="D105" s="5" t="str">
        <f t="shared" si="6"/>
        <v/>
      </c>
      <c r="I105" s="5" t="str">
        <f t="shared" si="7"/>
        <v/>
      </c>
      <c r="M105" s="5" t="str">
        <f t="shared" si="8"/>
        <v/>
      </c>
      <c r="R105" s="5" t="str">
        <f>IF($A105="","",IFERROR(VLOOKUP($A105,Sheet1!A:AN,18,0),""))</f>
        <v/>
      </c>
      <c r="S105" s="5" t="str">
        <f>IF($A105="","",IFERROR(VLOOKUP($A105,Sheet1!$A:$AN,19,0),""))</f>
        <v/>
      </c>
      <c r="T105" s="5" t="str">
        <f t="shared" si="9"/>
        <v/>
      </c>
      <c r="U105" s="5" t="str">
        <f>IF($A105="","",IFERROR(VLOOKUP($A105,Sheet1!$A:$AN,21,0),""))</f>
        <v/>
      </c>
      <c r="V105" s="5" t="str">
        <f>IF($A105="","",IFERROR(SUBSTITUTE(VLOOKUP($A105,Sheet1!$A:$AN,22,0),"族",""),""))</f>
        <v/>
      </c>
      <c r="W105" s="5" t="str">
        <f>IF($A105="","",IFERROR(VLOOKUP($A105,Sheet1!$A:$AN,23,0),""))</f>
        <v/>
      </c>
      <c r="X105" s="5" t="str">
        <f>IF($A105="","",IFERROR(VLOOKUP($A105,Sheet1!$A:$AN,24,0),""))</f>
        <v/>
      </c>
      <c r="Y105" s="5" t="str">
        <f>IF($A105="","",IFERROR(VLOOKUP($A105,Sheet1!$A:$AN,25,0),""))</f>
        <v/>
      </c>
      <c r="AK105" s="5" t="str">
        <f>IF($A105="","",IFERROR(VLOOKUP($A105,Sheet1!$A:$AN,37,0),""))</f>
        <v/>
      </c>
      <c r="AL105" s="13" t="str">
        <f>IF($A105="","",IFERROR(VLOOKUP($A105,Sheet1!$A:$AN,38,0),""))</f>
        <v/>
      </c>
      <c r="AM105" s="13" t="str">
        <f>IF($A105="","",IFERROR(VLOOKUP($A105,Sheet1!$A:$AN,39,0),""))</f>
        <v/>
      </c>
      <c r="AN105" s="13" t="str">
        <f>IF($A105="","",IFERROR(VLOOKUP($A105,Sheet1!$A:$AN,40,0),""))</f>
        <v/>
      </c>
    </row>
    <row r="106" customHeight="1" spans="1:40">
      <c r="A106" s="5" t="str">
        <f>IF(Sheet1!$A106="","",Sheet1!$A106)</f>
        <v/>
      </c>
      <c r="B106" s="5" t="str">
        <f t="shared" si="5"/>
        <v/>
      </c>
      <c r="C106" s="5" t="str">
        <f>IF($A106="","",IFERROR(VLOOKUP($A106,Sheet1!$A:$AN,3,0),""))</f>
        <v/>
      </c>
      <c r="D106" s="5" t="str">
        <f t="shared" si="6"/>
        <v/>
      </c>
      <c r="I106" s="5" t="str">
        <f t="shared" si="7"/>
        <v/>
      </c>
      <c r="M106" s="5" t="str">
        <f t="shared" si="8"/>
        <v/>
      </c>
      <c r="R106" s="5" t="str">
        <f>IF($A106="","",IFERROR(VLOOKUP($A106,Sheet1!A:AN,18,0),""))</f>
        <v/>
      </c>
      <c r="S106" s="5" t="str">
        <f>IF($A106="","",IFERROR(VLOOKUP($A106,Sheet1!$A:$AN,19,0),""))</f>
        <v/>
      </c>
      <c r="T106" s="5" t="str">
        <f t="shared" si="9"/>
        <v/>
      </c>
      <c r="U106" s="5" t="str">
        <f>IF($A106="","",IFERROR(VLOOKUP($A106,Sheet1!$A:$AN,21,0),""))</f>
        <v/>
      </c>
      <c r="V106" s="5" t="str">
        <f>IF($A106="","",IFERROR(SUBSTITUTE(VLOOKUP($A106,Sheet1!$A:$AN,22,0),"族",""),""))</f>
        <v/>
      </c>
      <c r="W106" s="5" t="str">
        <f>IF($A106="","",IFERROR(VLOOKUP($A106,Sheet1!$A:$AN,23,0),""))</f>
        <v/>
      </c>
      <c r="X106" s="5" t="str">
        <f>IF($A106="","",IFERROR(VLOOKUP($A106,Sheet1!$A:$AN,24,0),""))</f>
        <v/>
      </c>
      <c r="Y106" s="5" t="str">
        <f>IF($A106="","",IFERROR(VLOOKUP($A106,Sheet1!$A:$AN,25,0),""))</f>
        <v/>
      </c>
      <c r="AK106" s="5" t="str">
        <f>IF($A106="","",IFERROR(VLOOKUP($A106,Sheet1!$A:$AN,37,0),""))</f>
        <v/>
      </c>
      <c r="AL106" s="13" t="str">
        <f>IF($A106="","",IFERROR(VLOOKUP($A106,Sheet1!$A:$AN,38,0),""))</f>
        <v/>
      </c>
      <c r="AM106" s="13" t="str">
        <f>IF($A106="","",IFERROR(VLOOKUP($A106,Sheet1!$A:$AN,39,0),""))</f>
        <v/>
      </c>
      <c r="AN106" s="13" t="str">
        <f>IF($A106="","",IFERROR(VLOOKUP($A106,Sheet1!$A:$AN,40,0),""))</f>
        <v/>
      </c>
    </row>
    <row r="107" customHeight="1" spans="1:40">
      <c r="A107" s="5" t="str">
        <f>IF(Sheet1!$A107="","",Sheet1!$A107)</f>
        <v/>
      </c>
      <c r="B107" s="5" t="str">
        <f t="shared" si="5"/>
        <v/>
      </c>
      <c r="C107" s="5" t="str">
        <f>IF($A107="","",IFERROR(VLOOKUP($A107,Sheet1!$A:$AN,3,0),""))</f>
        <v/>
      </c>
      <c r="D107" s="5" t="str">
        <f t="shared" si="6"/>
        <v/>
      </c>
      <c r="I107" s="5" t="str">
        <f t="shared" si="7"/>
        <v/>
      </c>
      <c r="M107" s="5" t="str">
        <f t="shared" si="8"/>
        <v/>
      </c>
      <c r="R107" s="5" t="str">
        <f>IF($A107="","",IFERROR(VLOOKUP($A107,Sheet1!A:AN,18,0),""))</f>
        <v/>
      </c>
      <c r="S107" s="5" t="str">
        <f>IF($A107="","",IFERROR(VLOOKUP($A107,Sheet1!$A:$AN,19,0),""))</f>
        <v/>
      </c>
      <c r="T107" s="5" t="str">
        <f t="shared" si="9"/>
        <v/>
      </c>
      <c r="U107" s="5" t="str">
        <f>IF($A107="","",IFERROR(VLOOKUP($A107,Sheet1!$A:$AN,21,0),""))</f>
        <v/>
      </c>
      <c r="V107" s="5" t="str">
        <f>IF($A107="","",IFERROR(SUBSTITUTE(VLOOKUP($A107,Sheet1!$A:$AN,22,0),"族",""),""))</f>
        <v/>
      </c>
      <c r="W107" s="5" t="str">
        <f>IF($A107="","",IFERROR(VLOOKUP($A107,Sheet1!$A:$AN,23,0),""))</f>
        <v/>
      </c>
      <c r="X107" s="5" t="str">
        <f>IF($A107="","",IFERROR(VLOOKUP($A107,Sheet1!$A:$AN,24,0),""))</f>
        <v/>
      </c>
      <c r="Y107" s="5" t="str">
        <f>IF($A107="","",IFERROR(VLOOKUP($A107,Sheet1!$A:$AN,25,0),""))</f>
        <v/>
      </c>
      <c r="AK107" s="5" t="str">
        <f>IF($A107="","",IFERROR(VLOOKUP($A107,Sheet1!$A:$AN,37,0),""))</f>
        <v/>
      </c>
      <c r="AL107" s="13" t="str">
        <f>IF($A107="","",IFERROR(VLOOKUP($A107,Sheet1!$A:$AN,38,0),""))</f>
        <v/>
      </c>
      <c r="AM107" s="13" t="str">
        <f>IF($A107="","",IFERROR(VLOOKUP($A107,Sheet1!$A:$AN,39,0),""))</f>
        <v/>
      </c>
      <c r="AN107" s="13" t="str">
        <f>IF($A107="","",IFERROR(VLOOKUP($A107,Sheet1!$A:$AN,40,0),""))</f>
        <v/>
      </c>
    </row>
    <row r="108" customHeight="1" spans="1:40">
      <c r="A108" s="5" t="str">
        <f>IF(Sheet1!$A108="","",Sheet1!$A108)</f>
        <v/>
      </c>
      <c r="B108" s="5" t="str">
        <f t="shared" si="5"/>
        <v/>
      </c>
      <c r="C108" s="5" t="str">
        <f>IF($A108="","",IFERROR(VLOOKUP($A108,Sheet1!$A:$AN,3,0),""))</f>
        <v/>
      </c>
      <c r="D108" s="5" t="str">
        <f t="shared" si="6"/>
        <v/>
      </c>
      <c r="I108" s="5" t="str">
        <f t="shared" si="7"/>
        <v/>
      </c>
      <c r="M108" s="5" t="str">
        <f t="shared" si="8"/>
        <v/>
      </c>
      <c r="R108" s="5" t="str">
        <f>IF($A108="","",IFERROR(VLOOKUP($A108,Sheet1!A:AN,18,0),""))</f>
        <v/>
      </c>
      <c r="S108" s="5" t="str">
        <f>IF($A108="","",IFERROR(VLOOKUP($A108,Sheet1!$A:$AN,19,0),""))</f>
        <v/>
      </c>
      <c r="T108" s="5" t="str">
        <f t="shared" si="9"/>
        <v/>
      </c>
      <c r="U108" s="5" t="str">
        <f>IF($A108="","",IFERROR(VLOOKUP($A108,Sheet1!$A:$AN,21,0),""))</f>
        <v/>
      </c>
      <c r="V108" s="5" t="str">
        <f>IF($A108="","",IFERROR(SUBSTITUTE(VLOOKUP($A108,Sheet1!$A:$AN,22,0),"族",""),""))</f>
        <v/>
      </c>
      <c r="W108" s="5" t="str">
        <f>IF($A108="","",IFERROR(VLOOKUP($A108,Sheet1!$A:$AN,23,0),""))</f>
        <v/>
      </c>
      <c r="X108" s="5" t="str">
        <f>IF($A108="","",IFERROR(VLOOKUP($A108,Sheet1!$A:$AN,24,0),""))</f>
        <v/>
      </c>
      <c r="Y108" s="5" t="str">
        <f>IF($A108="","",IFERROR(VLOOKUP($A108,Sheet1!$A:$AN,25,0),""))</f>
        <v/>
      </c>
      <c r="AK108" s="5" t="str">
        <f>IF($A108="","",IFERROR(VLOOKUP($A108,Sheet1!$A:$AN,37,0),""))</f>
        <v/>
      </c>
      <c r="AL108" s="13" t="str">
        <f>IF($A108="","",IFERROR(VLOOKUP($A108,Sheet1!$A:$AN,38,0),""))</f>
        <v/>
      </c>
      <c r="AM108" s="13" t="str">
        <f>IF($A108="","",IFERROR(VLOOKUP($A108,Sheet1!$A:$AN,39,0),""))</f>
        <v/>
      </c>
      <c r="AN108" s="13" t="str">
        <f>IF($A108="","",IFERROR(VLOOKUP($A108,Sheet1!$A:$AN,40,0),""))</f>
        <v/>
      </c>
    </row>
    <row r="109" customHeight="1" spans="1:40">
      <c r="A109" s="5" t="str">
        <f>IF(Sheet1!$A109="","",Sheet1!$A109)</f>
        <v/>
      </c>
      <c r="B109" s="5" t="str">
        <f t="shared" si="5"/>
        <v/>
      </c>
      <c r="C109" s="5" t="str">
        <f>IF($A109="","",IFERROR(VLOOKUP($A109,Sheet1!$A:$AN,3,0),""))</f>
        <v/>
      </c>
      <c r="D109" s="5" t="str">
        <f t="shared" si="6"/>
        <v/>
      </c>
      <c r="I109" s="5" t="str">
        <f t="shared" si="7"/>
        <v/>
      </c>
      <c r="M109" s="5" t="str">
        <f t="shared" si="8"/>
        <v/>
      </c>
      <c r="R109" s="5" t="str">
        <f>IF($A109="","",IFERROR(VLOOKUP($A109,Sheet1!A:AN,18,0),""))</f>
        <v/>
      </c>
      <c r="S109" s="5" t="str">
        <f>IF($A109="","",IFERROR(VLOOKUP($A109,Sheet1!$A:$AN,19,0),""))</f>
        <v/>
      </c>
      <c r="T109" s="5" t="str">
        <f t="shared" si="9"/>
        <v/>
      </c>
      <c r="U109" s="5" t="str">
        <f>IF($A109="","",IFERROR(VLOOKUP($A109,Sheet1!$A:$AN,21,0),""))</f>
        <v/>
      </c>
      <c r="V109" s="5" t="str">
        <f>IF($A109="","",IFERROR(SUBSTITUTE(VLOOKUP($A109,Sheet1!$A:$AN,22,0),"族",""),""))</f>
        <v/>
      </c>
      <c r="W109" s="5" t="str">
        <f>IF($A109="","",IFERROR(VLOOKUP($A109,Sheet1!$A:$AN,23,0),""))</f>
        <v/>
      </c>
      <c r="X109" s="5" t="str">
        <f>IF($A109="","",IFERROR(VLOOKUP($A109,Sheet1!$A:$AN,24,0),""))</f>
        <v/>
      </c>
      <c r="Y109" s="5" t="str">
        <f>IF($A109="","",IFERROR(VLOOKUP($A109,Sheet1!$A:$AN,25,0),""))</f>
        <v/>
      </c>
      <c r="AK109" s="5" t="str">
        <f>IF($A109="","",IFERROR(VLOOKUP($A109,Sheet1!$A:$AN,37,0),""))</f>
        <v/>
      </c>
      <c r="AL109" s="13" t="str">
        <f>IF($A109="","",IFERROR(VLOOKUP($A109,Sheet1!$A:$AN,38,0),""))</f>
        <v/>
      </c>
      <c r="AM109" s="13" t="str">
        <f>IF($A109="","",IFERROR(VLOOKUP($A109,Sheet1!$A:$AN,39,0),""))</f>
        <v/>
      </c>
      <c r="AN109" s="13" t="str">
        <f>IF($A109="","",IFERROR(VLOOKUP($A109,Sheet1!$A:$AN,40,0),""))</f>
        <v/>
      </c>
    </row>
    <row r="110" customHeight="1" spans="1:40">
      <c r="A110" s="5" t="str">
        <f>IF(Sheet1!$A110="","",Sheet1!$A110)</f>
        <v/>
      </c>
      <c r="B110" s="5" t="str">
        <f t="shared" si="5"/>
        <v/>
      </c>
      <c r="C110" s="5" t="str">
        <f>IF($A110="","",IFERROR(VLOOKUP($A110,Sheet1!$A:$AN,3,0),""))</f>
        <v/>
      </c>
      <c r="D110" s="5" t="str">
        <f t="shared" si="6"/>
        <v/>
      </c>
      <c r="I110" s="5" t="str">
        <f t="shared" si="7"/>
        <v/>
      </c>
      <c r="M110" s="5" t="str">
        <f t="shared" si="8"/>
        <v/>
      </c>
      <c r="R110" s="5" t="str">
        <f>IF($A110="","",IFERROR(VLOOKUP($A110,Sheet1!A:AN,18,0),""))</f>
        <v/>
      </c>
      <c r="S110" s="5" t="str">
        <f>IF($A110="","",IFERROR(VLOOKUP($A110,Sheet1!$A:$AN,19,0),""))</f>
        <v/>
      </c>
      <c r="T110" s="5" t="str">
        <f t="shared" si="9"/>
        <v/>
      </c>
      <c r="U110" s="5" t="str">
        <f>IF($A110="","",IFERROR(VLOOKUP($A110,Sheet1!$A:$AN,21,0),""))</f>
        <v/>
      </c>
      <c r="V110" s="5" t="str">
        <f>IF($A110="","",IFERROR(SUBSTITUTE(VLOOKUP($A110,Sheet1!$A:$AN,22,0),"族",""),""))</f>
        <v/>
      </c>
      <c r="W110" s="5" t="str">
        <f>IF($A110="","",IFERROR(VLOOKUP($A110,Sheet1!$A:$AN,23,0),""))</f>
        <v/>
      </c>
      <c r="X110" s="5" t="str">
        <f>IF($A110="","",IFERROR(VLOOKUP($A110,Sheet1!$A:$AN,24,0),""))</f>
        <v/>
      </c>
      <c r="Y110" s="5" t="str">
        <f>IF($A110="","",IFERROR(VLOOKUP($A110,Sheet1!$A:$AN,25,0),""))</f>
        <v/>
      </c>
      <c r="AK110" s="5" t="str">
        <f>IF($A110="","",IFERROR(VLOOKUP($A110,Sheet1!$A:$AN,37,0),""))</f>
        <v/>
      </c>
      <c r="AL110" s="13" t="str">
        <f>IF($A110="","",IFERROR(VLOOKUP($A110,Sheet1!$A:$AN,38,0),""))</f>
        <v/>
      </c>
      <c r="AM110" s="13" t="str">
        <f>IF($A110="","",IFERROR(VLOOKUP($A110,Sheet1!$A:$AN,39,0),""))</f>
        <v/>
      </c>
      <c r="AN110" s="13" t="str">
        <f>IF($A110="","",IFERROR(VLOOKUP($A110,Sheet1!$A:$AN,40,0),""))</f>
        <v/>
      </c>
    </row>
    <row r="111" customHeight="1" spans="1:40">
      <c r="A111" s="5" t="str">
        <f>IF(Sheet1!$A111="","",Sheet1!$A111)</f>
        <v/>
      </c>
      <c r="B111" s="5" t="str">
        <f t="shared" si="5"/>
        <v/>
      </c>
      <c r="C111" s="5" t="str">
        <f>IF($A111="","",IFERROR(VLOOKUP($A111,Sheet1!$A:$AN,3,0),""))</f>
        <v/>
      </c>
      <c r="D111" s="5" t="str">
        <f t="shared" si="6"/>
        <v/>
      </c>
      <c r="I111" s="5" t="str">
        <f t="shared" si="7"/>
        <v/>
      </c>
      <c r="M111" s="5" t="str">
        <f t="shared" si="8"/>
        <v/>
      </c>
      <c r="R111" s="5" t="str">
        <f>IF($A111="","",IFERROR(VLOOKUP($A111,Sheet1!A:AN,18,0),""))</f>
        <v/>
      </c>
      <c r="S111" s="5" t="str">
        <f>IF($A111="","",IFERROR(VLOOKUP($A111,Sheet1!$A:$AN,19,0),""))</f>
        <v/>
      </c>
      <c r="T111" s="5" t="str">
        <f t="shared" si="9"/>
        <v/>
      </c>
      <c r="U111" s="5" t="str">
        <f>IF($A111="","",IFERROR(VLOOKUP($A111,Sheet1!$A:$AN,21,0),""))</f>
        <v/>
      </c>
      <c r="V111" s="5" t="str">
        <f>IF($A111="","",IFERROR(SUBSTITUTE(VLOOKUP($A111,Sheet1!$A:$AN,22,0),"族",""),""))</f>
        <v/>
      </c>
      <c r="W111" s="5" t="str">
        <f>IF($A111="","",IFERROR(VLOOKUP($A111,Sheet1!$A:$AN,23,0),""))</f>
        <v/>
      </c>
      <c r="X111" s="5" t="str">
        <f>IF($A111="","",IFERROR(VLOOKUP($A111,Sheet1!$A:$AN,24,0),""))</f>
        <v/>
      </c>
      <c r="Y111" s="5" t="str">
        <f>IF($A111="","",IFERROR(VLOOKUP($A111,Sheet1!$A:$AN,25,0),""))</f>
        <v/>
      </c>
      <c r="AK111" s="5" t="str">
        <f>IF($A111="","",IFERROR(VLOOKUP($A111,Sheet1!$A:$AN,37,0),""))</f>
        <v/>
      </c>
      <c r="AL111" s="13" t="str">
        <f>IF($A111="","",IFERROR(VLOOKUP($A111,Sheet1!$A:$AN,38,0),""))</f>
        <v/>
      </c>
      <c r="AM111" s="13" t="str">
        <f>IF($A111="","",IFERROR(VLOOKUP($A111,Sheet1!$A:$AN,39,0),""))</f>
        <v/>
      </c>
      <c r="AN111" s="13" t="str">
        <f>IF($A111="","",IFERROR(VLOOKUP($A111,Sheet1!$A:$AN,40,0),""))</f>
        <v/>
      </c>
    </row>
    <row r="112" customHeight="1" spans="1:40">
      <c r="A112" s="5" t="str">
        <f>IF(Sheet1!$A112="","",Sheet1!$A112)</f>
        <v/>
      </c>
      <c r="B112" s="5" t="str">
        <f t="shared" si="5"/>
        <v/>
      </c>
      <c r="C112" s="5" t="str">
        <f>IF($A112="","",IFERROR(VLOOKUP($A112,Sheet1!$A:$AN,3,0),""))</f>
        <v/>
      </c>
      <c r="D112" s="5" t="str">
        <f t="shared" si="6"/>
        <v/>
      </c>
      <c r="I112" s="5" t="str">
        <f t="shared" si="7"/>
        <v/>
      </c>
      <c r="M112" s="5" t="str">
        <f t="shared" si="8"/>
        <v/>
      </c>
      <c r="R112" s="5" t="str">
        <f>IF($A112="","",IFERROR(VLOOKUP($A112,Sheet1!A:AN,18,0),""))</f>
        <v/>
      </c>
      <c r="S112" s="5" t="str">
        <f>IF($A112="","",IFERROR(VLOOKUP($A112,Sheet1!$A:$AN,19,0),""))</f>
        <v/>
      </c>
      <c r="T112" s="5" t="str">
        <f t="shared" si="9"/>
        <v/>
      </c>
      <c r="U112" s="5" t="str">
        <f>IF($A112="","",IFERROR(VLOOKUP($A112,Sheet1!$A:$AN,21,0),""))</f>
        <v/>
      </c>
      <c r="V112" s="5" t="str">
        <f>IF($A112="","",IFERROR(SUBSTITUTE(VLOOKUP($A112,Sheet1!$A:$AN,22,0),"族",""),""))</f>
        <v/>
      </c>
      <c r="W112" s="5" t="str">
        <f>IF($A112="","",IFERROR(VLOOKUP($A112,Sheet1!$A:$AN,23,0),""))</f>
        <v/>
      </c>
      <c r="X112" s="5" t="str">
        <f>IF($A112="","",IFERROR(VLOOKUP($A112,Sheet1!$A:$AN,24,0),""))</f>
        <v/>
      </c>
      <c r="Y112" s="5" t="str">
        <f>IF($A112="","",IFERROR(VLOOKUP($A112,Sheet1!$A:$AN,25,0),""))</f>
        <v/>
      </c>
      <c r="AK112" s="5" t="str">
        <f>IF($A112="","",IFERROR(VLOOKUP($A112,Sheet1!$A:$AN,37,0),""))</f>
        <v/>
      </c>
      <c r="AL112" s="13" t="str">
        <f>IF($A112="","",IFERROR(VLOOKUP($A112,Sheet1!$A:$AN,38,0),""))</f>
        <v/>
      </c>
      <c r="AM112" s="13" t="str">
        <f>IF($A112="","",IFERROR(VLOOKUP($A112,Sheet1!$A:$AN,39,0),""))</f>
        <v/>
      </c>
      <c r="AN112" s="13" t="str">
        <f>IF($A112="","",IFERROR(VLOOKUP($A112,Sheet1!$A:$AN,40,0),""))</f>
        <v/>
      </c>
    </row>
    <row r="113" customHeight="1" spans="1:40">
      <c r="A113" s="5" t="str">
        <f>IF(Sheet1!$A113="","",Sheet1!$A113)</f>
        <v/>
      </c>
      <c r="B113" s="5" t="str">
        <f t="shared" si="5"/>
        <v/>
      </c>
      <c r="C113" s="5" t="str">
        <f>IF($A113="","",IFERROR(VLOOKUP($A113,Sheet1!$A:$AN,3,0),""))</f>
        <v/>
      </c>
      <c r="D113" s="5" t="str">
        <f t="shared" si="6"/>
        <v/>
      </c>
      <c r="I113" s="5" t="str">
        <f t="shared" si="7"/>
        <v/>
      </c>
      <c r="M113" s="5" t="str">
        <f t="shared" si="8"/>
        <v/>
      </c>
      <c r="R113" s="5" t="str">
        <f>IF($A113="","",IFERROR(VLOOKUP($A113,Sheet1!A:AN,18,0),""))</f>
        <v/>
      </c>
      <c r="S113" s="5" t="str">
        <f>IF($A113="","",IFERROR(VLOOKUP($A113,Sheet1!$A:$AN,19,0),""))</f>
        <v/>
      </c>
      <c r="T113" s="5" t="str">
        <f t="shared" si="9"/>
        <v/>
      </c>
      <c r="U113" s="5" t="str">
        <f>IF($A113="","",IFERROR(VLOOKUP($A113,Sheet1!$A:$AN,21,0),""))</f>
        <v/>
      </c>
      <c r="V113" s="5" t="str">
        <f>IF($A113="","",IFERROR(SUBSTITUTE(VLOOKUP($A113,Sheet1!$A:$AN,22,0),"族",""),""))</f>
        <v/>
      </c>
      <c r="W113" s="5" t="str">
        <f>IF($A113="","",IFERROR(VLOOKUP($A113,Sheet1!$A:$AN,23,0),""))</f>
        <v/>
      </c>
      <c r="X113" s="5" t="str">
        <f>IF($A113="","",IFERROR(VLOOKUP($A113,Sheet1!$A:$AN,24,0),""))</f>
        <v/>
      </c>
      <c r="Y113" s="5" t="str">
        <f>IF($A113="","",IFERROR(VLOOKUP($A113,Sheet1!$A:$AN,25,0),""))</f>
        <v/>
      </c>
      <c r="AK113" s="5" t="str">
        <f>IF($A113="","",IFERROR(VLOOKUP($A113,Sheet1!$A:$AN,37,0),""))</f>
        <v/>
      </c>
      <c r="AL113" s="13" t="str">
        <f>IF($A113="","",IFERROR(VLOOKUP($A113,Sheet1!$A:$AN,38,0),""))</f>
        <v/>
      </c>
      <c r="AM113" s="13" t="str">
        <f>IF($A113="","",IFERROR(VLOOKUP($A113,Sheet1!$A:$AN,39,0),""))</f>
        <v/>
      </c>
      <c r="AN113" s="13" t="str">
        <f>IF($A113="","",IFERROR(VLOOKUP($A113,Sheet1!$A:$AN,40,0),""))</f>
        <v/>
      </c>
    </row>
    <row r="114" customHeight="1" spans="1:40">
      <c r="A114" s="5" t="str">
        <f>IF(Sheet1!$A114="","",Sheet1!$A114)</f>
        <v/>
      </c>
      <c r="B114" s="5" t="str">
        <f t="shared" si="5"/>
        <v/>
      </c>
      <c r="C114" s="5" t="str">
        <f>IF($A114="","",IFERROR(VLOOKUP($A114,Sheet1!$A:$AN,3,0),""))</f>
        <v/>
      </c>
      <c r="D114" s="5" t="str">
        <f t="shared" si="6"/>
        <v/>
      </c>
      <c r="I114" s="5" t="str">
        <f t="shared" si="7"/>
        <v/>
      </c>
      <c r="M114" s="5" t="str">
        <f t="shared" si="8"/>
        <v/>
      </c>
      <c r="R114" s="5" t="str">
        <f>IF($A114="","",IFERROR(VLOOKUP($A114,Sheet1!A:AN,18,0),""))</f>
        <v/>
      </c>
      <c r="S114" s="5" t="str">
        <f>IF($A114="","",IFERROR(VLOOKUP($A114,Sheet1!$A:$AN,19,0),""))</f>
        <v/>
      </c>
      <c r="T114" s="5" t="str">
        <f t="shared" si="9"/>
        <v/>
      </c>
      <c r="U114" s="5" t="str">
        <f>IF($A114="","",IFERROR(VLOOKUP($A114,Sheet1!$A:$AN,21,0),""))</f>
        <v/>
      </c>
      <c r="V114" s="5" t="str">
        <f>IF($A114="","",IFERROR(SUBSTITUTE(VLOOKUP($A114,Sheet1!$A:$AN,22,0),"族",""),""))</f>
        <v/>
      </c>
      <c r="W114" s="5" t="str">
        <f>IF($A114="","",IFERROR(VLOOKUP($A114,Sheet1!$A:$AN,23,0),""))</f>
        <v/>
      </c>
      <c r="X114" s="5" t="str">
        <f>IF($A114="","",IFERROR(VLOOKUP($A114,Sheet1!$A:$AN,24,0),""))</f>
        <v/>
      </c>
      <c r="Y114" s="5" t="str">
        <f>IF($A114="","",IFERROR(VLOOKUP($A114,Sheet1!$A:$AN,25,0),""))</f>
        <v/>
      </c>
      <c r="AK114" s="5" t="str">
        <f>IF($A114="","",IFERROR(VLOOKUP($A114,Sheet1!$A:$AN,37,0),""))</f>
        <v/>
      </c>
      <c r="AL114" s="13" t="str">
        <f>IF($A114="","",IFERROR(VLOOKUP($A114,Sheet1!$A:$AN,38,0),""))</f>
        <v/>
      </c>
      <c r="AM114" s="13" t="str">
        <f>IF($A114="","",IFERROR(VLOOKUP($A114,Sheet1!$A:$AN,39,0),""))</f>
        <v/>
      </c>
      <c r="AN114" s="13" t="str">
        <f>IF($A114="","",IFERROR(VLOOKUP($A114,Sheet1!$A:$AN,40,0),""))</f>
        <v/>
      </c>
    </row>
    <row r="115" customHeight="1" spans="1:40">
      <c r="A115" s="5" t="str">
        <f>IF(Sheet1!$A115="","",Sheet1!$A115)</f>
        <v/>
      </c>
      <c r="B115" s="5" t="str">
        <f t="shared" si="5"/>
        <v/>
      </c>
      <c r="C115" s="5" t="str">
        <f>IF($A115="","",IFERROR(VLOOKUP($A115,Sheet1!$A:$AN,3,0),""))</f>
        <v/>
      </c>
      <c r="D115" s="5" t="str">
        <f t="shared" si="6"/>
        <v/>
      </c>
      <c r="I115" s="5" t="str">
        <f t="shared" si="7"/>
        <v/>
      </c>
      <c r="M115" s="5" t="str">
        <f t="shared" si="8"/>
        <v/>
      </c>
      <c r="R115" s="5" t="str">
        <f>IF($A115="","",IFERROR(VLOOKUP($A115,Sheet1!A:AN,18,0),""))</f>
        <v/>
      </c>
      <c r="S115" s="5" t="str">
        <f>IF($A115="","",IFERROR(VLOOKUP($A115,Sheet1!$A:$AN,19,0),""))</f>
        <v/>
      </c>
      <c r="T115" s="5" t="str">
        <f t="shared" si="9"/>
        <v/>
      </c>
      <c r="U115" s="5" t="str">
        <f>IF($A115="","",IFERROR(VLOOKUP($A115,Sheet1!$A:$AN,21,0),""))</f>
        <v/>
      </c>
      <c r="V115" s="5" t="str">
        <f>IF($A115="","",IFERROR(SUBSTITUTE(VLOOKUP($A115,Sheet1!$A:$AN,22,0),"族",""),""))</f>
        <v/>
      </c>
      <c r="W115" s="5" t="str">
        <f>IF($A115="","",IFERROR(VLOOKUP($A115,Sheet1!$A:$AN,23,0),""))</f>
        <v/>
      </c>
      <c r="X115" s="5" t="str">
        <f>IF($A115="","",IFERROR(VLOOKUP($A115,Sheet1!$A:$AN,24,0),""))</f>
        <v/>
      </c>
      <c r="Y115" s="5" t="str">
        <f>IF($A115="","",IFERROR(VLOOKUP($A115,Sheet1!$A:$AN,25,0),""))</f>
        <v/>
      </c>
      <c r="AK115" s="5" t="str">
        <f>IF($A115="","",IFERROR(VLOOKUP($A115,Sheet1!$A:$AN,37,0),""))</f>
        <v/>
      </c>
      <c r="AL115" s="13" t="str">
        <f>IF($A115="","",IFERROR(VLOOKUP($A115,Sheet1!$A:$AN,38,0),""))</f>
        <v/>
      </c>
      <c r="AM115" s="13" t="str">
        <f>IF($A115="","",IFERROR(VLOOKUP($A115,Sheet1!$A:$AN,39,0),""))</f>
        <v/>
      </c>
      <c r="AN115" s="13" t="str">
        <f>IF($A115="","",IFERROR(VLOOKUP($A115,Sheet1!$A:$AN,40,0),""))</f>
        <v/>
      </c>
    </row>
    <row r="116" customHeight="1" spans="1:40">
      <c r="A116" s="5" t="str">
        <f>IF(Sheet1!$A116="","",Sheet1!$A116)</f>
        <v/>
      </c>
      <c r="B116" s="5" t="str">
        <f t="shared" si="5"/>
        <v/>
      </c>
      <c r="C116" s="5" t="str">
        <f>IF($A116="","",IFERROR(VLOOKUP($A116,Sheet1!$A:$AN,3,0),""))</f>
        <v/>
      </c>
      <c r="D116" s="5" t="str">
        <f t="shared" si="6"/>
        <v/>
      </c>
      <c r="I116" s="5" t="str">
        <f t="shared" si="7"/>
        <v/>
      </c>
      <c r="M116" s="5" t="str">
        <f t="shared" si="8"/>
        <v/>
      </c>
      <c r="R116" s="5" t="str">
        <f>IF($A116="","",IFERROR(VLOOKUP($A116,Sheet1!A:AN,18,0),""))</f>
        <v/>
      </c>
      <c r="S116" s="5" t="str">
        <f>IF($A116="","",IFERROR(VLOOKUP($A116,Sheet1!$A:$AN,19,0),""))</f>
        <v/>
      </c>
      <c r="T116" s="5" t="str">
        <f t="shared" si="9"/>
        <v/>
      </c>
      <c r="U116" s="5" t="str">
        <f>IF($A116="","",IFERROR(VLOOKUP($A116,Sheet1!$A:$AN,21,0),""))</f>
        <v/>
      </c>
      <c r="V116" s="5" t="str">
        <f>IF($A116="","",IFERROR(SUBSTITUTE(VLOOKUP($A116,Sheet1!$A:$AN,22,0),"族",""),""))</f>
        <v/>
      </c>
      <c r="W116" s="5" t="str">
        <f>IF($A116="","",IFERROR(VLOOKUP($A116,Sheet1!$A:$AN,23,0),""))</f>
        <v/>
      </c>
      <c r="X116" s="5" t="str">
        <f>IF($A116="","",IFERROR(VLOOKUP($A116,Sheet1!$A:$AN,24,0),""))</f>
        <v/>
      </c>
      <c r="Y116" s="5" t="str">
        <f>IF($A116="","",IFERROR(VLOOKUP($A116,Sheet1!$A:$AN,25,0),""))</f>
        <v/>
      </c>
      <c r="AK116" s="5" t="str">
        <f>IF($A116="","",IFERROR(VLOOKUP($A116,Sheet1!$A:$AN,37,0),""))</f>
        <v/>
      </c>
      <c r="AL116" s="13" t="str">
        <f>IF($A116="","",IFERROR(VLOOKUP($A116,Sheet1!$A:$AN,38,0),""))</f>
        <v/>
      </c>
      <c r="AM116" s="13" t="str">
        <f>IF($A116="","",IFERROR(VLOOKUP($A116,Sheet1!$A:$AN,39,0),""))</f>
        <v/>
      </c>
      <c r="AN116" s="13" t="str">
        <f>IF($A116="","",IFERROR(VLOOKUP($A116,Sheet1!$A:$AN,40,0),""))</f>
        <v/>
      </c>
    </row>
    <row r="117" customHeight="1" spans="1:40">
      <c r="A117" s="5" t="str">
        <f>IF(Sheet1!$A117="","",Sheet1!$A117)</f>
        <v/>
      </c>
      <c r="B117" s="5" t="str">
        <f t="shared" si="5"/>
        <v/>
      </c>
      <c r="C117" s="5" t="str">
        <f>IF($A117="","",IFERROR(VLOOKUP($A117,Sheet1!$A:$AN,3,0),""))</f>
        <v/>
      </c>
      <c r="D117" s="5" t="str">
        <f t="shared" si="6"/>
        <v/>
      </c>
      <c r="I117" s="5" t="str">
        <f t="shared" si="7"/>
        <v/>
      </c>
      <c r="M117" s="5" t="str">
        <f t="shared" si="8"/>
        <v/>
      </c>
      <c r="R117" s="5" t="str">
        <f>IF($A117="","",IFERROR(VLOOKUP($A117,Sheet1!A:AN,18,0),""))</f>
        <v/>
      </c>
      <c r="S117" s="5" t="str">
        <f>IF($A117="","",IFERROR(VLOOKUP($A117,Sheet1!$A:$AN,19,0),""))</f>
        <v/>
      </c>
      <c r="T117" s="5" t="str">
        <f t="shared" si="9"/>
        <v/>
      </c>
      <c r="U117" s="5" t="str">
        <f>IF($A117="","",IFERROR(VLOOKUP($A117,Sheet1!$A:$AN,21,0),""))</f>
        <v/>
      </c>
      <c r="V117" s="5" t="str">
        <f>IF($A117="","",IFERROR(SUBSTITUTE(VLOOKUP($A117,Sheet1!$A:$AN,22,0),"族",""),""))</f>
        <v/>
      </c>
      <c r="W117" s="5" t="str">
        <f>IF($A117="","",IFERROR(VLOOKUP($A117,Sheet1!$A:$AN,23,0),""))</f>
        <v/>
      </c>
      <c r="X117" s="5" t="str">
        <f>IF($A117="","",IFERROR(VLOOKUP($A117,Sheet1!$A:$AN,24,0),""))</f>
        <v/>
      </c>
      <c r="Y117" s="5" t="str">
        <f>IF($A117="","",IFERROR(VLOOKUP($A117,Sheet1!$A:$AN,25,0),""))</f>
        <v/>
      </c>
      <c r="AK117" s="5" t="str">
        <f>IF($A117="","",IFERROR(VLOOKUP($A117,Sheet1!$A:$AN,37,0),""))</f>
        <v/>
      </c>
      <c r="AL117" s="13" t="str">
        <f>IF($A117="","",IFERROR(VLOOKUP($A117,Sheet1!$A:$AN,38,0),""))</f>
        <v/>
      </c>
      <c r="AM117" s="13" t="str">
        <f>IF($A117="","",IFERROR(VLOOKUP($A117,Sheet1!$A:$AN,39,0),""))</f>
        <v/>
      </c>
      <c r="AN117" s="13" t="str">
        <f>IF($A117="","",IFERROR(VLOOKUP($A117,Sheet1!$A:$AN,40,0),""))</f>
        <v/>
      </c>
    </row>
    <row r="118" customHeight="1" spans="1:40">
      <c r="A118" s="5" t="str">
        <f>IF(Sheet1!$A118="","",Sheet1!$A118)</f>
        <v/>
      </c>
      <c r="B118" s="5" t="str">
        <f t="shared" si="5"/>
        <v/>
      </c>
      <c r="C118" s="5" t="str">
        <f>IF($A118="","",IFERROR(VLOOKUP($A118,Sheet1!$A:$AN,3,0),""))</f>
        <v/>
      </c>
      <c r="D118" s="5" t="str">
        <f t="shared" si="6"/>
        <v/>
      </c>
      <c r="I118" s="5" t="str">
        <f t="shared" si="7"/>
        <v/>
      </c>
      <c r="M118" s="5" t="str">
        <f t="shared" si="8"/>
        <v/>
      </c>
      <c r="R118" s="5" t="str">
        <f>IF($A118="","",IFERROR(VLOOKUP($A118,Sheet1!A:AN,18,0),""))</f>
        <v/>
      </c>
      <c r="S118" s="5" t="str">
        <f>IF($A118="","",IFERROR(VLOOKUP($A118,Sheet1!$A:$AN,19,0),""))</f>
        <v/>
      </c>
      <c r="T118" s="5" t="str">
        <f t="shared" si="9"/>
        <v/>
      </c>
      <c r="U118" s="5" t="str">
        <f>IF($A118="","",IFERROR(VLOOKUP($A118,Sheet1!$A:$AN,21,0),""))</f>
        <v/>
      </c>
      <c r="V118" s="5" t="str">
        <f>IF($A118="","",IFERROR(SUBSTITUTE(VLOOKUP($A118,Sheet1!$A:$AN,22,0),"族",""),""))</f>
        <v/>
      </c>
      <c r="W118" s="5" t="str">
        <f>IF($A118="","",IFERROR(VLOOKUP($A118,Sheet1!$A:$AN,23,0),""))</f>
        <v/>
      </c>
      <c r="X118" s="5" t="str">
        <f>IF($A118="","",IFERROR(VLOOKUP($A118,Sheet1!$A:$AN,24,0),""))</f>
        <v/>
      </c>
      <c r="Y118" s="5" t="str">
        <f>IF($A118="","",IFERROR(VLOOKUP($A118,Sheet1!$A:$AN,25,0),""))</f>
        <v/>
      </c>
      <c r="AK118" s="5" t="str">
        <f>IF($A118="","",IFERROR(VLOOKUP($A118,Sheet1!$A:$AN,37,0),""))</f>
        <v/>
      </c>
      <c r="AL118" s="13" t="str">
        <f>IF($A118="","",IFERROR(VLOOKUP($A118,Sheet1!$A:$AN,38,0),""))</f>
        <v/>
      </c>
      <c r="AM118" s="13" t="str">
        <f>IF($A118="","",IFERROR(VLOOKUP($A118,Sheet1!$A:$AN,39,0),""))</f>
        <v/>
      </c>
      <c r="AN118" s="13" t="str">
        <f>IF($A118="","",IFERROR(VLOOKUP($A118,Sheet1!$A:$AN,40,0),""))</f>
        <v/>
      </c>
    </row>
    <row r="119" customHeight="1" spans="1:40">
      <c r="A119" s="5" t="str">
        <f>IF(Sheet1!$A119="","",Sheet1!$A119)</f>
        <v/>
      </c>
      <c r="B119" s="5" t="str">
        <f t="shared" si="5"/>
        <v/>
      </c>
      <c r="C119" s="5" t="str">
        <f>IF($A119="","",IFERROR(VLOOKUP($A119,Sheet1!$A:$AN,3,0),""))</f>
        <v/>
      </c>
      <c r="D119" s="5" t="str">
        <f t="shared" si="6"/>
        <v/>
      </c>
      <c r="I119" s="5" t="str">
        <f t="shared" si="7"/>
        <v/>
      </c>
      <c r="M119" s="5" t="str">
        <f t="shared" si="8"/>
        <v/>
      </c>
      <c r="R119" s="5" t="str">
        <f>IF($A119="","",IFERROR(VLOOKUP($A119,Sheet1!A:AN,18,0),""))</f>
        <v/>
      </c>
      <c r="S119" s="5" t="str">
        <f>IF($A119="","",IFERROR(VLOOKUP($A119,Sheet1!$A:$AN,19,0),""))</f>
        <v/>
      </c>
      <c r="T119" s="5" t="str">
        <f t="shared" si="9"/>
        <v/>
      </c>
      <c r="U119" s="5" t="str">
        <f>IF($A119="","",IFERROR(VLOOKUP($A119,Sheet1!$A:$AN,21,0),""))</f>
        <v/>
      </c>
      <c r="V119" s="5" t="str">
        <f>IF($A119="","",IFERROR(SUBSTITUTE(VLOOKUP($A119,Sheet1!$A:$AN,22,0),"族",""),""))</f>
        <v/>
      </c>
      <c r="W119" s="5" t="str">
        <f>IF($A119="","",IFERROR(VLOOKUP($A119,Sheet1!$A:$AN,23,0),""))</f>
        <v/>
      </c>
      <c r="X119" s="5" t="str">
        <f>IF($A119="","",IFERROR(VLOOKUP($A119,Sheet1!$A:$AN,24,0),""))</f>
        <v/>
      </c>
      <c r="Y119" s="5" t="str">
        <f>IF($A119="","",IFERROR(VLOOKUP($A119,Sheet1!$A:$AN,25,0),""))</f>
        <v/>
      </c>
      <c r="AK119" s="5" t="str">
        <f>IF($A119="","",IFERROR(VLOOKUP($A119,Sheet1!$A:$AN,37,0),""))</f>
        <v/>
      </c>
      <c r="AL119" s="13" t="str">
        <f>IF($A119="","",IFERROR(VLOOKUP($A119,Sheet1!$A:$AN,38,0),""))</f>
        <v/>
      </c>
      <c r="AM119" s="13" t="str">
        <f>IF($A119="","",IFERROR(VLOOKUP($A119,Sheet1!$A:$AN,39,0),""))</f>
        <v/>
      </c>
      <c r="AN119" s="13" t="str">
        <f>IF($A119="","",IFERROR(VLOOKUP($A119,Sheet1!$A:$AN,40,0),""))</f>
        <v/>
      </c>
    </row>
    <row r="120" customHeight="1" spans="1:40">
      <c r="A120" s="5" t="str">
        <f>IF(Sheet1!$A120="","",Sheet1!$A120)</f>
        <v/>
      </c>
      <c r="B120" s="5" t="str">
        <f t="shared" si="5"/>
        <v/>
      </c>
      <c r="C120" s="5" t="str">
        <f>IF($A120="","",IFERROR(VLOOKUP($A120,Sheet1!$A:$AN,3,0),""))</f>
        <v/>
      </c>
      <c r="D120" s="5" t="str">
        <f t="shared" si="6"/>
        <v/>
      </c>
      <c r="I120" s="5" t="str">
        <f t="shared" si="7"/>
        <v/>
      </c>
      <c r="M120" s="5" t="str">
        <f t="shared" si="8"/>
        <v/>
      </c>
      <c r="R120" s="5" t="str">
        <f>IF($A120="","",IFERROR(VLOOKUP($A120,Sheet1!A:AN,18,0),""))</f>
        <v/>
      </c>
      <c r="S120" s="5" t="str">
        <f>IF($A120="","",IFERROR(VLOOKUP($A120,Sheet1!$A:$AN,19,0),""))</f>
        <v/>
      </c>
      <c r="T120" s="5" t="str">
        <f t="shared" si="9"/>
        <v/>
      </c>
      <c r="U120" s="5" t="str">
        <f>IF($A120="","",IFERROR(VLOOKUP($A120,Sheet1!$A:$AN,21,0),""))</f>
        <v/>
      </c>
      <c r="V120" s="5" t="str">
        <f>IF($A120="","",IFERROR(SUBSTITUTE(VLOOKUP($A120,Sheet1!$A:$AN,22,0),"族",""),""))</f>
        <v/>
      </c>
      <c r="W120" s="5" t="str">
        <f>IF($A120="","",IFERROR(VLOOKUP($A120,Sheet1!$A:$AN,23,0),""))</f>
        <v/>
      </c>
      <c r="X120" s="5" t="str">
        <f>IF($A120="","",IFERROR(VLOOKUP($A120,Sheet1!$A:$AN,24,0),""))</f>
        <v/>
      </c>
      <c r="Y120" s="5" t="str">
        <f>IF($A120="","",IFERROR(VLOOKUP($A120,Sheet1!$A:$AN,25,0),""))</f>
        <v/>
      </c>
      <c r="AK120" s="5" t="str">
        <f>IF($A120="","",IFERROR(VLOOKUP($A120,Sheet1!$A:$AN,37,0),""))</f>
        <v/>
      </c>
      <c r="AL120" s="13" t="str">
        <f>IF($A120="","",IFERROR(VLOOKUP($A120,Sheet1!$A:$AN,38,0),""))</f>
        <v/>
      </c>
      <c r="AM120" s="13" t="str">
        <f>IF($A120="","",IFERROR(VLOOKUP($A120,Sheet1!$A:$AN,39,0),""))</f>
        <v/>
      </c>
      <c r="AN120" s="13" t="str">
        <f>IF($A120="","",IFERROR(VLOOKUP($A120,Sheet1!$A:$AN,40,0),""))</f>
        <v/>
      </c>
    </row>
    <row r="121" customHeight="1" spans="1:40">
      <c r="A121" s="5" t="str">
        <f>IF(Sheet1!$A121="","",Sheet1!$A121)</f>
        <v/>
      </c>
      <c r="B121" s="5" t="str">
        <f t="shared" si="5"/>
        <v/>
      </c>
      <c r="C121" s="5" t="str">
        <f>IF($A121="","",IFERROR(VLOOKUP($A121,Sheet1!$A:$AN,3,0),""))</f>
        <v/>
      </c>
      <c r="D121" s="5" t="str">
        <f t="shared" si="6"/>
        <v/>
      </c>
      <c r="I121" s="5" t="str">
        <f t="shared" si="7"/>
        <v/>
      </c>
      <c r="M121" s="5" t="str">
        <f t="shared" si="8"/>
        <v/>
      </c>
      <c r="R121" s="5" t="str">
        <f>IF($A121="","",IFERROR(VLOOKUP($A121,Sheet1!A:AN,18,0),""))</f>
        <v/>
      </c>
      <c r="S121" s="5" t="str">
        <f>IF($A121="","",IFERROR(VLOOKUP($A121,Sheet1!$A:$AN,19,0),""))</f>
        <v/>
      </c>
      <c r="T121" s="5" t="str">
        <f t="shared" si="9"/>
        <v/>
      </c>
      <c r="U121" s="5" t="str">
        <f>IF($A121="","",IFERROR(VLOOKUP($A121,Sheet1!$A:$AN,21,0),""))</f>
        <v/>
      </c>
      <c r="V121" s="5" t="str">
        <f>IF($A121="","",IFERROR(SUBSTITUTE(VLOOKUP($A121,Sheet1!$A:$AN,22,0),"族",""),""))</f>
        <v/>
      </c>
      <c r="W121" s="5" t="str">
        <f>IF($A121="","",IFERROR(VLOOKUP($A121,Sheet1!$A:$AN,23,0),""))</f>
        <v/>
      </c>
      <c r="X121" s="5" t="str">
        <f>IF($A121="","",IFERROR(VLOOKUP($A121,Sheet1!$A:$AN,24,0),""))</f>
        <v/>
      </c>
      <c r="Y121" s="5" t="str">
        <f>IF($A121="","",IFERROR(VLOOKUP($A121,Sheet1!$A:$AN,25,0),""))</f>
        <v/>
      </c>
      <c r="AK121" s="5" t="str">
        <f>IF($A121="","",IFERROR(VLOOKUP($A121,Sheet1!$A:$AN,37,0),""))</f>
        <v/>
      </c>
      <c r="AL121" s="13" t="str">
        <f>IF($A121="","",IFERROR(VLOOKUP($A121,Sheet1!$A:$AN,38,0),""))</f>
        <v/>
      </c>
      <c r="AM121" s="13" t="str">
        <f>IF($A121="","",IFERROR(VLOOKUP($A121,Sheet1!$A:$AN,39,0),""))</f>
        <v/>
      </c>
      <c r="AN121" s="13" t="str">
        <f>IF($A121="","",IFERROR(VLOOKUP($A121,Sheet1!$A:$AN,40,0),""))</f>
        <v/>
      </c>
    </row>
    <row r="122" customHeight="1" spans="1:40">
      <c r="A122" s="5" t="str">
        <f>IF(Sheet1!$A122="","",Sheet1!$A122)</f>
        <v/>
      </c>
      <c r="B122" s="5" t="str">
        <f t="shared" si="5"/>
        <v/>
      </c>
      <c r="C122" s="5" t="str">
        <f>IF($A122="","",IFERROR(VLOOKUP($A122,Sheet1!$A:$AN,3,0),""))</f>
        <v/>
      </c>
      <c r="D122" s="5" t="str">
        <f t="shared" si="6"/>
        <v/>
      </c>
      <c r="I122" s="5" t="str">
        <f t="shared" si="7"/>
        <v/>
      </c>
      <c r="M122" s="5" t="str">
        <f t="shared" si="8"/>
        <v/>
      </c>
      <c r="R122" s="5" t="str">
        <f>IF($A122="","",IFERROR(VLOOKUP($A122,Sheet1!A:AN,18,0),""))</f>
        <v/>
      </c>
      <c r="S122" s="5" t="str">
        <f>IF($A122="","",IFERROR(VLOOKUP($A122,Sheet1!$A:$AN,19,0),""))</f>
        <v/>
      </c>
      <c r="T122" s="5" t="str">
        <f t="shared" si="9"/>
        <v/>
      </c>
      <c r="U122" s="5" t="str">
        <f>IF($A122="","",IFERROR(VLOOKUP($A122,Sheet1!$A:$AN,21,0),""))</f>
        <v/>
      </c>
      <c r="V122" s="5" t="str">
        <f>IF($A122="","",IFERROR(SUBSTITUTE(VLOOKUP($A122,Sheet1!$A:$AN,22,0),"族",""),""))</f>
        <v/>
      </c>
      <c r="W122" s="5" t="str">
        <f>IF($A122="","",IFERROR(VLOOKUP($A122,Sheet1!$A:$AN,23,0),""))</f>
        <v/>
      </c>
      <c r="X122" s="5" t="str">
        <f>IF($A122="","",IFERROR(VLOOKUP($A122,Sheet1!$A:$AN,24,0),""))</f>
        <v/>
      </c>
      <c r="Y122" s="5" t="str">
        <f>IF($A122="","",IFERROR(VLOOKUP($A122,Sheet1!$A:$AN,25,0),""))</f>
        <v/>
      </c>
      <c r="AK122" s="5" t="str">
        <f>IF($A122="","",IFERROR(VLOOKUP($A122,Sheet1!$A:$AN,37,0),""))</f>
        <v/>
      </c>
      <c r="AL122" s="13" t="str">
        <f>IF($A122="","",IFERROR(VLOOKUP($A122,Sheet1!$A:$AN,38,0),""))</f>
        <v/>
      </c>
      <c r="AM122" s="13" t="str">
        <f>IF($A122="","",IFERROR(VLOOKUP($A122,Sheet1!$A:$AN,39,0),""))</f>
        <v/>
      </c>
      <c r="AN122" s="13" t="str">
        <f>IF($A122="","",IFERROR(VLOOKUP($A122,Sheet1!$A:$AN,40,0),""))</f>
        <v/>
      </c>
    </row>
    <row r="123" customHeight="1" spans="1:40">
      <c r="A123" s="5" t="str">
        <f>IF(Sheet1!$A123="","",Sheet1!$A123)</f>
        <v/>
      </c>
      <c r="B123" s="5" t="str">
        <f t="shared" si="5"/>
        <v/>
      </c>
      <c r="C123" s="5" t="str">
        <f>IF($A123="","",IFERROR(VLOOKUP($A123,Sheet1!$A:$AN,3,0),""))</f>
        <v/>
      </c>
      <c r="D123" s="5" t="str">
        <f t="shared" si="6"/>
        <v/>
      </c>
      <c r="I123" s="5" t="str">
        <f t="shared" si="7"/>
        <v/>
      </c>
      <c r="M123" s="5" t="str">
        <f t="shared" si="8"/>
        <v/>
      </c>
      <c r="R123" s="5" t="str">
        <f>IF($A123="","",IFERROR(VLOOKUP($A123,Sheet1!A:AN,18,0),""))</f>
        <v/>
      </c>
      <c r="S123" s="5" t="str">
        <f>IF($A123="","",IFERROR(VLOOKUP($A123,Sheet1!$A:$AN,19,0),""))</f>
        <v/>
      </c>
      <c r="T123" s="5" t="str">
        <f t="shared" si="9"/>
        <v/>
      </c>
      <c r="U123" s="5" t="str">
        <f>IF($A123="","",IFERROR(VLOOKUP($A123,Sheet1!$A:$AN,21,0),""))</f>
        <v/>
      </c>
      <c r="V123" s="5" t="str">
        <f>IF($A123="","",IFERROR(SUBSTITUTE(VLOOKUP($A123,Sheet1!$A:$AN,22,0),"族",""),""))</f>
        <v/>
      </c>
      <c r="W123" s="5" t="str">
        <f>IF($A123="","",IFERROR(VLOOKUP($A123,Sheet1!$A:$AN,23,0),""))</f>
        <v/>
      </c>
      <c r="X123" s="5" t="str">
        <f>IF($A123="","",IFERROR(VLOOKUP($A123,Sheet1!$A:$AN,24,0),""))</f>
        <v/>
      </c>
      <c r="Y123" s="5" t="str">
        <f>IF($A123="","",IFERROR(VLOOKUP($A123,Sheet1!$A:$AN,25,0),""))</f>
        <v/>
      </c>
      <c r="AK123" s="5" t="str">
        <f>IF($A123="","",IFERROR(VLOOKUP($A123,Sheet1!$A:$AN,37,0),""))</f>
        <v/>
      </c>
      <c r="AL123" s="13" t="str">
        <f>IF($A123="","",IFERROR(VLOOKUP($A123,Sheet1!$A:$AN,38,0),""))</f>
        <v/>
      </c>
      <c r="AM123" s="13" t="str">
        <f>IF($A123="","",IFERROR(VLOOKUP($A123,Sheet1!$A:$AN,39,0),""))</f>
        <v/>
      </c>
      <c r="AN123" s="13" t="str">
        <f>IF($A123="","",IFERROR(VLOOKUP($A123,Sheet1!$A:$AN,40,0),""))</f>
        <v/>
      </c>
    </row>
    <row r="124" customHeight="1" spans="1:40">
      <c r="A124" s="5" t="str">
        <f>IF(Sheet1!$A124="","",Sheet1!$A124)</f>
        <v/>
      </c>
      <c r="B124" s="5" t="str">
        <f t="shared" si="5"/>
        <v/>
      </c>
      <c r="C124" s="5" t="str">
        <f>IF($A124="","",IFERROR(VLOOKUP($A124,Sheet1!$A:$AN,3,0),""))</f>
        <v/>
      </c>
      <c r="D124" s="5" t="str">
        <f t="shared" si="6"/>
        <v/>
      </c>
      <c r="I124" s="5" t="str">
        <f t="shared" si="7"/>
        <v/>
      </c>
      <c r="M124" s="5" t="str">
        <f t="shared" si="8"/>
        <v/>
      </c>
      <c r="R124" s="5" t="str">
        <f>IF($A124="","",IFERROR(VLOOKUP($A124,Sheet1!A:AN,18,0),""))</f>
        <v/>
      </c>
      <c r="S124" s="5" t="str">
        <f>IF($A124="","",IFERROR(VLOOKUP($A124,Sheet1!$A:$AN,19,0),""))</f>
        <v/>
      </c>
      <c r="T124" s="5" t="str">
        <f t="shared" si="9"/>
        <v/>
      </c>
      <c r="U124" s="5" t="str">
        <f>IF($A124="","",IFERROR(VLOOKUP($A124,Sheet1!$A:$AN,21,0),""))</f>
        <v/>
      </c>
      <c r="V124" s="5" t="str">
        <f>IF($A124="","",IFERROR(SUBSTITUTE(VLOOKUP($A124,Sheet1!$A:$AN,22,0),"族",""),""))</f>
        <v/>
      </c>
      <c r="W124" s="5" t="str">
        <f>IF($A124="","",IFERROR(VLOOKUP($A124,Sheet1!$A:$AN,23,0),""))</f>
        <v/>
      </c>
      <c r="X124" s="5" t="str">
        <f>IF($A124="","",IFERROR(VLOOKUP($A124,Sheet1!$A:$AN,24,0),""))</f>
        <v/>
      </c>
      <c r="Y124" s="5" t="str">
        <f>IF($A124="","",IFERROR(VLOOKUP($A124,Sheet1!$A:$AN,25,0),""))</f>
        <v/>
      </c>
      <c r="AK124" s="5" t="str">
        <f>IF($A124="","",IFERROR(VLOOKUP($A124,Sheet1!$A:$AN,37,0),""))</f>
        <v/>
      </c>
      <c r="AL124" s="13" t="str">
        <f>IF($A124="","",IFERROR(VLOOKUP($A124,Sheet1!$A:$AN,38,0),""))</f>
        <v/>
      </c>
      <c r="AM124" s="13" t="str">
        <f>IF($A124="","",IFERROR(VLOOKUP($A124,Sheet1!$A:$AN,39,0),""))</f>
        <v/>
      </c>
      <c r="AN124" s="13" t="str">
        <f>IF($A124="","",IFERROR(VLOOKUP($A124,Sheet1!$A:$AN,40,0),""))</f>
        <v/>
      </c>
    </row>
    <row r="125" customHeight="1" spans="1:40">
      <c r="A125" s="5" t="str">
        <f>IF(Sheet1!$A125="","",Sheet1!$A125)</f>
        <v/>
      </c>
      <c r="B125" s="5" t="str">
        <f t="shared" si="5"/>
        <v/>
      </c>
      <c r="C125" s="5" t="str">
        <f>IF($A125="","",IFERROR(VLOOKUP($A125,Sheet1!$A:$AN,3,0),""))</f>
        <v/>
      </c>
      <c r="D125" s="5" t="str">
        <f t="shared" si="6"/>
        <v/>
      </c>
      <c r="I125" s="5" t="str">
        <f t="shared" si="7"/>
        <v/>
      </c>
      <c r="M125" s="5" t="str">
        <f t="shared" si="8"/>
        <v/>
      </c>
      <c r="R125" s="5" t="str">
        <f>IF($A125="","",IFERROR(VLOOKUP($A125,Sheet1!A:AN,18,0),""))</f>
        <v/>
      </c>
      <c r="S125" s="5" t="str">
        <f>IF($A125="","",IFERROR(VLOOKUP($A125,Sheet1!$A:$AN,19,0),""))</f>
        <v/>
      </c>
      <c r="T125" s="5" t="str">
        <f t="shared" si="9"/>
        <v/>
      </c>
      <c r="U125" s="5" t="str">
        <f>IF($A125="","",IFERROR(VLOOKUP($A125,Sheet1!$A:$AN,21,0),""))</f>
        <v/>
      </c>
      <c r="V125" s="5" t="str">
        <f>IF($A125="","",IFERROR(SUBSTITUTE(VLOOKUP($A125,Sheet1!$A:$AN,22,0),"族",""),""))</f>
        <v/>
      </c>
      <c r="W125" s="5" t="str">
        <f>IF($A125="","",IFERROR(VLOOKUP($A125,Sheet1!$A:$AN,23,0),""))</f>
        <v/>
      </c>
      <c r="X125" s="5" t="str">
        <f>IF($A125="","",IFERROR(VLOOKUP($A125,Sheet1!$A:$AN,24,0),""))</f>
        <v/>
      </c>
      <c r="Y125" s="5" t="str">
        <f>IF($A125="","",IFERROR(VLOOKUP($A125,Sheet1!$A:$AN,25,0),""))</f>
        <v/>
      </c>
      <c r="AK125" s="5" t="str">
        <f>IF($A125="","",IFERROR(VLOOKUP($A125,Sheet1!$A:$AN,37,0),""))</f>
        <v/>
      </c>
      <c r="AL125" s="13" t="str">
        <f>IF($A125="","",IFERROR(VLOOKUP($A125,Sheet1!$A:$AN,38,0),""))</f>
        <v/>
      </c>
      <c r="AM125" s="13" t="str">
        <f>IF($A125="","",IFERROR(VLOOKUP($A125,Sheet1!$A:$AN,39,0),""))</f>
        <v/>
      </c>
      <c r="AN125" s="13" t="str">
        <f>IF($A125="","",IFERROR(VLOOKUP($A125,Sheet1!$A:$AN,40,0),""))</f>
        <v/>
      </c>
    </row>
    <row r="126" customHeight="1" spans="1:40">
      <c r="A126" s="5" t="str">
        <f>IF(Sheet1!$A126="","",Sheet1!$A126)</f>
        <v/>
      </c>
      <c r="B126" s="5" t="str">
        <f t="shared" si="5"/>
        <v/>
      </c>
      <c r="C126" s="5" t="str">
        <f>IF($A126="","",IFERROR(VLOOKUP($A126,Sheet1!$A:$AN,3,0),""))</f>
        <v/>
      </c>
      <c r="D126" s="5" t="str">
        <f t="shared" si="6"/>
        <v/>
      </c>
      <c r="I126" s="5" t="str">
        <f t="shared" si="7"/>
        <v/>
      </c>
      <c r="M126" s="5" t="str">
        <f t="shared" si="8"/>
        <v/>
      </c>
      <c r="R126" s="5" t="str">
        <f>IF($A126="","",IFERROR(VLOOKUP($A126,Sheet1!A:AN,18,0),""))</f>
        <v/>
      </c>
      <c r="S126" s="5" t="str">
        <f>IF($A126="","",IFERROR(VLOOKUP($A126,Sheet1!$A:$AN,19,0),""))</f>
        <v/>
      </c>
      <c r="T126" s="5" t="str">
        <f t="shared" si="9"/>
        <v/>
      </c>
      <c r="U126" s="5" t="str">
        <f>IF($A126="","",IFERROR(VLOOKUP($A126,Sheet1!$A:$AN,21,0),""))</f>
        <v/>
      </c>
      <c r="V126" s="5" t="str">
        <f>IF($A126="","",IFERROR(SUBSTITUTE(VLOOKUP($A126,Sheet1!$A:$AN,22,0),"族",""),""))</f>
        <v/>
      </c>
      <c r="W126" s="5" t="str">
        <f>IF($A126="","",IFERROR(VLOOKUP($A126,Sheet1!$A:$AN,23,0),""))</f>
        <v/>
      </c>
      <c r="X126" s="5" t="str">
        <f>IF($A126="","",IFERROR(VLOOKUP($A126,Sheet1!$A:$AN,24,0),""))</f>
        <v/>
      </c>
      <c r="Y126" s="5" t="str">
        <f>IF($A126="","",IFERROR(VLOOKUP($A126,Sheet1!$A:$AN,25,0),""))</f>
        <v/>
      </c>
      <c r="AK126" s="5" t="str">
        <f>IF($A126="","",IFERROR(VLOOKUP($A126,Sheet1!$A:$AN,37,0),""))</f>
        <v/>
      </c>
      <c r="AL126" s="13" t="str">
        <f>IF($A126="","",IFERROR(VLOOKUP($A126,Sheet1!$A:$AN,38,0),""))</f>
        <v/>
      </c>
      <c r="AM126" s="13" t="str">
        <f>IF($A126="","",IFERROR(VLOOKUP($A126,Sheet1!$A:$AN,39,0),""))</f>
        <v/>
      </c>
      <c r="AN126" s="13" t="str">
        <f>IF($A126="","",IFERROR(VLOOKUP($A126,Sheet1!$A:$AN,40,0),""))</f>
        <v/>
      </c>
    </row>
    <row r="127" customHeight="1" spans="1:40">
      <c r="A127" s="5" t="str">
        <f>IF(Sheet1!$A127="","",Sheet1!$A127)</f>
        <v/>
      </c>
      <c r="B127" s="5" t="str">
        <f t="shared" si="5"/>
        <v/>
      </c>
      <c r="C127" s="5" t="str">
        <f>IF($A127="","",IFERROR(VLOOKUP($A127,Sheet1!$A:$AN,3,0),""))</f>
        <v/>
      </c>
      <c r="D127" s="5" t="str">
        <f t="shared" si="6"/>
        <v/>
      </c>
      <c r="I127" s="5" t="str">
        <f t="shared" si="7"/>
        <v/>
      </c>
      <c r="M127" s="5" t="str">
        <f t="shared" si="8"/>
        <v/>
      </c>
      <c r="R127" s="5" t="str">
        <f>IF($A127="","",IFERROR(VLOOKUP($A127,Sheet1!A:AN,18,0),""))</f>
        <v/>
      </c>
      <c r="S127" s="5" t="str">
        <f>IF($A127="","",IFERROR(VLOOKUP($A127,Sheet1!$A:$AN,19,0),""))</f>
        <v/>
      </c>
      <c r="T127" s="5" t="str">
        <f t="shared" si="9"/>
        <v/>
      </c>
      <c r="U127" s="5" t="str">
        <f>IF($A127="","",IFERROR(VLOOKUP($A127,Sheet1!$A:$AN,21,0),""))</f>
        <v/>
      </c>
      <c r="V127" s="5" t="str">
        <f>IF($A127="","",IFERROR(SUBSTITUTE(VLOOKUP($A127,Sheet1!$A:$AN,22,0),"族",""),""))</f>
        <v/>
      </c>
      <c r="W127" s="5" t="str">
        <f>IF($A127="","",IFERROR(VLOOKUP($A127,Sheet1!$A:$AN,23,0),""))</f>
        <v/>
      </c>
      <c r="X127" s="5" t="str">
        <f>IF($A127="","",IFERROR(VLOOKUP($A127,Sheet1!$A:$AN,24,0),""))</f>
        <v/>
      </c>
      <c r="Y127" s="5" t="str">
        <f>IF($A127="","",IFERROR(VLOOKUP($A127,Sheet1!$A:$AN,25,0),""))</f>
        <v/>
      </c>
      <c r="AK127" s="5" t="str">
        <f>IF($A127="","",IFERROR(VLOOKUP($A127,Sheet1!$A:$AN,37,0),""))</f>
        <v/>
      </c>
      <c r="AL127" s="13" t="str">
        <f>IF($A127="","",IFERROR(VLOOKUP($A127,Sheet1!$A:$AN,38,0),""))</f>
        <v/>
      </c>
      <c r="AM127" s="13" t="str">
        <f>IF($A127="","",IFERROR(VLOOKUP($A127,Sheet1!$A:$AN,39,0),""))</f>
        <v/>
      </c>
      <c r="AN127" s="13" t="str">
        <f>IF($A127="","",IFERROR(VLOOKUP($A127,Sheet1!$A:$AN,40,0),""))</f>
        <v/>
      </c>
    </row>
    <row r="128" customHeight="1" spans="1:40">
      <c r="A128" s="5" t="str">
        <f>IF(Sheet1!$A128="","",Sheet1!$A128)</f>
        <v/>
      </c>
      <c r="B128" s="5" t="str">
        <f t="shared" si="5"/>
        <v/>
      </c>
      <c r="C128" s="5" t="str">
        <f>IF($A128="","",IFERROR(VLOOKUP($A128,Sheet1!$A:$AN,3,0),""))</f>
        <v/>
      </c>
      <c r="D128" s="5" t="str">
        <f t="shared" si="6"/>
        <v/>
      </c>
      <c r="I128" s="5" t="str">
        <f t="shared" si="7"/>
        <v/>
      </c>
      <c r="M128" s="5" t="str">
        <f t="shared" si="8"/>
        <v/>
      </c>
      <c r="R128" s="5" t="str">
        <f>IF($A128="","",IFERROR(VLOOKUP($A128,Sheet1!A:AN,18,0),""))</f>
        <v/>
      </c>
      <c r="S128" s="5" t="str">
        <f>IF($A128="","",IFERROR(VLOOKUP($A128,Sheet1!$A:$AN,19,0),""))</f>
        <v/>
      </c>
      <c r="T128" s="5" t="str">
        <f t="shared" si="9"/>
        <v/>
      </c>
      <c r="U128" s="5" t="str">
        <f>IF($A128="","",IFERROR(VLOOKUP($A128,Sheet1!$A:$AN,21,0),""))</f>
        <v/>
      </c>
      <c r="V128" s="5" t="str">
        <f>IF($A128="","",IFERROR(SUBSTITUTE(VLOOKUP($A128,Sheet1!$A:$AN,22,0),"族",""),""))</f>
        <v/>
      </c>
      <c r="W128" s="5" t="str">
        <f>IF($A128="","",IFERROR(VLOOKUP($A128,Sheet1!$A:$AN,23,0),""))</f>
        <v/>
      </c>
      <c r="X128" s="5" t="str">
        <f>IF($A128="","",IFERROR(VLOOKUP($A128,Sheet1!$A:$AN,24,0),""))</f>
        <v/>
      </c>
      <c r="Y128" s="5" t="str">
        <f>IF($A128="","",IFERROR(VLOOKUP($A128,Sheet1!$A:$AN,25,0),""))</f>
        <v/>
      </c>
      <c r="AK128" s="5" t="str">
        <f>IF($A128="","",IFERROR(VLOOKUP($A128,Sheet1!$A:$AN,37,0),""))</f>
        <v/>
      </c>
      <c r="AL128" s="13" t="str">
        <f>IF($A128="","",IFERROR(VLOOKUP($A128,Sheet1!$A:$AN,38,0),""))</f>
        <v/>
      </c>
      <c r="AM128" s="13" t="str">
        <f>IF($A128="","",IFERROR(VLOOKUP($A128,Sheet1!$A:$AN,39,0),""))</f>
        <v/>
      </c>
      <c r="AN128" s="13" t="str">
        <f>IF($A128="","",IFERROR(VLOOKUP($A128,Sheet1!$A:$AN,40,0),""))</f>
        <v/>
      </c>
    </row>
    <row r="129" customHeight="1" spans="1:40">
      <c r="A129" s="5" t="str">
        <f>IF(Sheet1!$A129="","",Sheet1!$A129)</f>
        <v/>
      </c>
      <c r="B129" s="5" t="str">
        <f t="shared" si="5"/>
        <v/>
      </c>
      <c r="C129" s="5" t="str">
        <f>IF($A129="","",IFERROR(VLOOKUP($A129,Sheet1!$A:$AN,3,0),""))</f>
        <v/>
      </c>
      <c r="D129" s="5" t="str">
        <f t="shared" si="6"/>
        <v/>
      </c>
      <c r="I129" s="5" t="str">
        <f t="shared" si="7"/>
        <v/>
      </c>
      <c r="M129" s="5" t="str">
        <f t="shared" si="8"/>
        <v/>
      </c>
      <c r="R129" s="5" t="str">
        <f>IF($A129="","",IFERROR(VLOOKUP($A129,Sheet1!A:AN,18,0),""))</f>
        <v/>
      </c>
      <c r="S129" s="5" t="str">
        <f>IF($A129="","",IFERROR(VLOOKUP($A129,Sheet1!$A:$AN,19,0),""))</f>
        <v/>
      </c>
      <c r="T129" s="5" t="str">
        <f t="shared" si="9"/>
        <v/>
      </c>
      <c r="U129" s="5" t="str">
        <f>IF($A129="","",IFERROR(VLOOKUP($A129,Sheet1!$A:$AN,21,0),""))</f>
        <v/>
      </c>
      <c r="V129" s="5" t="str">
        <f>IF($A129="","",IFERROR(SUBSTITUTE(VLOOKUP($A129,Sheet1!$A:$AN,22,0),"族",""),""))</f>
        <v/>
      </c>
      <c r="W129" s="5" t="str">
        <f>IF($A129="","",IFERROR(VLOOKUP($A129,Sheet1!$A:$AN,23,0),""))</f>
        <v/>
      </c>
      <c r="X129" s="5" t="str">
        <f>IF($A129="","",IFERROR(VLOOKUP($A129,Sheet1!$A:$AN,24,0),""))</f>
        <v/>
      </c>
      <c r="Y129" s="5" t="str">
        <f>IF($A129="","",IFERROR(VLOOKUP($A129,Sheet1!$A:$AN,25,0),""))</f>
        <v/>
      </c>
      <c r="AK129" s="5" t="str">
        <f>IF($A129="","",IFERROR(VLOOKUP($A129,Sheet1!$A:$AN,37,0),""))</f>
        <v/>
      </c>
      <c r="AL129" s="13" t="str">
        <f>IF($A129="","",IFERROR(VLOOKUP($A129,Sheet1!$A:$AN,38,0),""))</f>
        <v/>
      </c>
      <c r="AM129" s="13" t="str">
        <f>IF($A129="","",IFERROR(VLOOKUP($A129,Sheet1!$A:$AN,39,0),""))</f>
        <v/>
      </c>
      <c r="AN129" s="13" t="str">
        <f>IF($A129="","",IFERROR(VLOOKUP($A129,Sheet1!$A:$AN,40,0),""))</f>
        <v/>
      </c>
    </row>
    <row r="130" customHeight="1" spans="1:40">
      <c r="A130" s="5" t="str">
        <f>IF(Sheet1!$A130="","",Sheet1!$A130)</f>
        <v/>
      </c>
      <c r="B130" s="5" t="str">
        <f t="shared" si="5"/>
        <v/>
      </c>
      <c r="C130" s="5" t="str">
        <f>IF($A130="","",IFERROR(VLOOKUP($A130,Sheet1!$A:$AN,3,0),""))</f>
        <v/>
      </c>
      <c r="D130" s="5" t="str">
        <f t="shared" si="6"/>
        <v/>
      </c>
      <c r="I130" s="5" t="str">
        <f t="shared" si="7"/>
        <v/>
      </c>
      <c r="M130" s="5" t="str">
        <f t="shared" si="8"/>
        <v/>
      </c>
      <c r="R130" s="5" t="str">
        <f>IF($A130="","",IFERROR(VLOOKUP($A130,Sheet1!A:AN,18,0),""))</f>
        <v/>
      </c>
      <c r="S130" s="5" t="str">
        <f>IF($A130="","",IFERROR(VLOOKUP($A130,Sheet1!$A:$AN,19,0),""))</f>
        <v/>
      </c>
      <c r="T130" s="5" t="str">
        <f t="shared" si="9"/>
        <v/>
      </c>
      <c r="U130" s="5" t="str">
        <f>IF($A130="","",IFERROR(VLOOKUP($A130,Sheet1!$A:$AN,21,0),""))</f>
        <v/>
      </c>
      <c r="V130" s="5" t="str">
        <f>IF($A130="","",IFERROR(SUBSTITUTE(VLOOKUP($A130,Sheet1!$A:$AN,22,0),"族",""),""))</f>
        <v/>
      </c>
      <c r="W130" s="5" t="str">
        <f>IF($A130="","",IFERROR(VLOOKUP($A130,Sheet1!$A:$AN,23,0),""))</f>
        <v/>
      </c>
      <c r="X130" s="5" t="str">
        <f>IF($A130="","",IFERROR(VLOOKUP($A130,Sheet1!$A:$AN,24,0),""))</f>
        <v/>
      </c>
      <c r="Y130" s="5" t="str">
        <f>IF($A130="","",IFERROR(VLOOKUP($A130,Sheet1!$A:$AN,25,0),""))</f>
        <v/>
      </c>
      <c r="AK130" s="5" t="str">
        <f>IF($A130="","",IFERROR(VLOOKUP($A130,Sheet1!$A:$AN,37,0),""))</f>
        <v/>
      </c>
      <c r="AL130" s="13" t="str">
        <f>IF($A130="","",IFERROR(VLOOKUP($A130,Sheet1!$A:$AN,38,0),""))</f>
        <v/>
      </c>
      <c r="AM130" s="13" t="str">
        <f>IF($A130="","",IFERROR(VLOOKUP($A130,Sheet1!$A:$AN,39,0),""))</f>
        <v/>
      </c>
      <c r="AN130" s="13" t="str">
        <f>IF($A130="","",IFERROR(VLOOKUP($A130,Sheet1!$A:$AN,40,0),""))</f>
        <v/>
      </c>
    </row>
    <row r="131" customHeight="1" spans="1:40">
      <c r="A131" s="5" t="str">
        <f>IF(Sheet1!$A131="","",Sheet1!$A131)</f>
        <v/>
      </c>
      <c r="B131" s="5" t="str">
        <f t="shared" ref="B131:B194" si="10">IF($A131="","","企业")</f>
        <v/>
      </c>
      <c r="C131" s="5" t="str">
        <f>IF($A131="","",IFERROR(VLOOKUP($A131,Sheet1!$A:$AN,3,0),""))</f>
        <v/>
      </c>
      <c r="D131" s="5" t="str">
        <f t="shared" ref="D131:D194" si="11">IF($C131="","","营业执照")</f>
        <v/>
      </c>
      <c r="I131" s="5" t="str">
        <f t="shared" ref="I131:I194" si="12">IF($C131="","","身份证")</f>
        <v/>
      </c>
      <c r="M131" s="5" t="str">
        <f t="shared" ref="M131:M194" si="13">IF($C131="","","自然人")</f>
        <v/>
      </c>
      <c r="R131" s="5" t="str">
        <f>IF($A131="","",IFERROR(VLOOKUP($A131,Sheet1!A:AN,18,0),""))</f>
        <v/>
      </c>
      <c r="S131" s="5" t="str">
        <f>IF($A131="","",IFERROR(VLOOKUP($A131,Sheet1!$A:$AN,19,0),""))</f>
        <v/>
      </c>
      <c r="T131" s="5" t="str">
        <f t="shared" ref="T131:T194" si="14">IF($S131="","","身份证")</f>
        <v/>
      </c>
      <c r="U131" s="5" t="str">
        <f>IF($A131="","",IFERROR(VLOOKUP($A131,Sheet1!$A:$AN,21,0),""))</f>
        <v/>
      </c>
      <c r="V131" s="5" t="str">
        <f>IF($A131="","",IFERROR(SUBSTITUTE(VLOOKUP($A131,Sheet1!$A:$AN,22,0),"族",""),""))</f>
        <v/>
      </c>
      <c r="W131" s="5" t="str">
        <f>IF($A131="","",IFERROR(VLOOKUP($A131,Sheet1!$A:$AN,23,0),""))</f>
        <v/>
      </c>
      <c r="X131" s="5" t="str">
        <f>IF($A131="","",IFERROR(VLOOKUP($A131,Sheet1!$A:$AN,24,0),""))</f>
        <v/>
      </c>
      <c r="Y131" s="5" t="str">
        <f>IF($A131="","",IFERROR(VLOOKUP($A131,Sheet1!$A:$AN,25,0),""))</f>
        <v/>
      </c>
      <c r="AK131" s="5" t="str">
        <f>IF($A131="","",IFERROR(VLOOKUP($A131,Sheet1!$A:$AN,37,0),""))</f>
        <v/>
      </c>
      <c r="AL131" s="13" t="str">
        <f>IF($A131="","",IFERROR(VLOOKUP($A131,Sheet1!$A:$AN,38,0),""))</f>
        <v/>
      </c>
      <c r="AM131" s="13" t="str">
        <f>IF($A131="","",IFERROR(VLOOKUP($A131,Sheet1!$A:$AN,39,0),""))</f>
        <v/>
      </c>
      <c r="AN131" s="13" t="str">
        <f>IF($A131="","",IFERROR(VLOOKUP($A131,Sheet1!$A:$AN,40,0),""))</f>
        <v/>
      </c>
    </row>
    <row r="132" customHeight="1" spans="1:40">
      <c r="A132" s="5" t="str">
        <f>IF(Sheet1!$A132="","",Sheet1!$A132)</f>
        <v/>
      </c>
      <c r="B132" s="5" t="str">
        <f t="shared" si="10"/>
        <v/>
      </c>
      <c r="C132" s="5" t="str">
        <f>IF($A132="","",IFERROR(VLOOKUP($A132,Sheet1!$A:$AN,3,0),""))</f>
        <v/>
      </c>
      <c r="D132" s="5" t="str">
        <f t="shared" si="11"/>
        <v/>
      </c>
      <c r="I132" s="5" t="str">
        <f t="shared" si="12"/>
        <v/>
      </c>
      <c r="M132" s="5" t="str">
        <f t="shared" si="13"/>
        <v/>
      </c>
      <c r="R132" s="5" t="str">
        <f>IF($A132="","",IFERROR(VLOOKUP($A132,Sheet1!A:AN,18,0),""))</f>
        <v/>
      </c>
      <c r="S132" s="5" t="str">
        <f>IF($A132="","",IFERROR(VLOOKUP($A132,Sheet1!$A:$AN,19,0),""))</f>
        <v/>
      </c>
      <c r="T132" s="5" t="str">
        <f t="shared" si="14"/>
        <v/>
      </c>
      <c r="U132" s="5" t="str">
        <f>IF($A132="","",IFERROR(VLOOKUP($A132,Sheet1!$A:$AN,21,0),""))</f>
        <v/>
      </c>
      <c r="V132" s="5" t="str">
        <f>IF($A132="","",IFERROR(SUBSTITUTE(VLOOKUP($A132,Sheet1!$A:$AN,22,0),"族",""),""))</f>
        <v/>
      </c>
      <c r="W132" s="5" t="str">
        <f>IF($A132="","",IFERROR(VLOOKUP($A132,Sheet1!$A:$AN,23,0),""))</f>
        <v/>
      </c>
      <c r="X132" s="5" t="str">
        <f>IF($A132="","",IFERROR(VLOOKUP($A132,Sheet1!$A:$AN,24,0),""))</f>
        <v/>
      </c>
      <c r="Y132" s="5" t="str">
        <f>IF($A132="","",IFERROR(VLOOKUP($A132,Sheet1!$A:$AN,25,0),""))</f>
        <v/>
      </c>
      <c r="AK132" s="5" t="str">
        <f>IF($A132="","",IFERROR(VLOOKUP($A132,Sheet1!$A:$AN,37,0),""))</f>
        <v/>
      </c>
      <c r="AL132" s="13" t="str">
        <f>IF($A132="","",IFERROR(VLOOKUP($A132,Sheet1!$A:$AN,38,0),""))</f>
        <v/>
      </c>
      <c r="AM132" s="13" t="str">
        <f>IF($A132="","",IFERROR(VLOOKUP($A132,Sheet1!$A:$AN,39,0),""))</f>
        <v/>
      </c>
      <c r="AN132" s="13" t="str">
        <f>IF($A132="","",IFERROR(VLOOKUP($A132,Sheet1!$A:$AN,40,0),""))</f>
        <v/>
      </c>
    </row>
    <row r="133" customHeight="1" spans="1:40">
      <c r="A133" s="5" t="str">
        <f>IF(Sheet1!$A133="","",Sheet1!$A133)</f>
        <v/>
      </c>
      <c r="B133" s="5" t="str">
        <f t="shared" si="10"/>
        <v/>
      </c>
      <c r="C133" s="5" t="str">
        <f>IF($A133="","",IFERROR(VLOOKUP($A133,Sheet1!$A:$AN,3,0),""))</f>
        <v/>
      </c>
      <c r="D133" s="5" t="str">
        <f t="shared" si="11"/>
        <v/>
      </c>
      <c r="I133" s="5" t="str">
        <f t="shared" si="12"/>
        <v/>
      </c>
      <c r="M133" s="5" t="str">
        <f t="shared" si="13"/>
        <v/>
      </c>
      <c r="R133" s="5" t="str">
        <f>IF($A133="","",IFERROR(VLOOKUP($A133,Sheet1!A:AN,18,0),""))</f>
        <v/>
      </c>
      <c r="S133" s="5" t="str">
        <f>IF($A133="","",IFERROR(VLOOKUP($A133,Sheet1!$A:$AN,19,0),""))</f>
        <v/>
      </c>
      <c r="T133" s="5" t="str">
        <f t="shared" si="14"/>
        <v/>
      </c>
      <c r="U133" s="5" t="str">
        <f>IF($A133="","",IFERROR(VLOOKUP($A133,Sheet1!$A:$AN,21,0),""))</f>
        <v/>
      </c>
      <c r="V133" s="5" t="str">
        <f>IF($A133="","",IFERROR(SUBSTITUTE(VLOOKUP($A133,Sheet1!$A:$AN,22,0),"族",""),""))</f>
        <v/>
      </c>
      <c r="W133" s="5" t="str">
        <f>IF($A133="","",IFERROR(VLOOKUP($A133,Sheet1!$A:$AN,23,0),""))</f>
        <v/>
      </c>
      <c r="X133" s="5" t="str">
        <f>IF($A133="","",IFERROR(VLOOKUP($A133,Sheet1!$A:$AN,24,0),""))</f>
        <v/>
      </c>
      <c r="Y133" s="5" t="str">
        <f>IF($A133="","",IFERROR(VLOOKUP($A133,Sheet1!$A:$AN,25,0),""))</f>
        <v/>
      </c>
      <c r="AK133" s="5" t="str">
        <f>IF($A133="","",IFERROR(VLOOKUP($A133,Sheet1!$A:$AN,37,0),""))</f>
        <v/>
      </c>
      <c r="AL133" s="13" t="str">
        <f>IF($A133="","",IFERROR(VLOOKUP($A133,Sheet1!$A:$AN,38,0),""))</f>
        <v/>
      </c>
      <c r="AM133" s="13" t="str">
        <f>IF($A133="","",IFERROR(VLOOKUP($A133,Sheet1!$A:$AN,39,0),""))</f>
        <v/>
      </c>
      <c r="AN133" s="13" t="str">
        <f>IF($A133="","",IFERROR(VLOOKUP($A133,Sheet1!$A:$AN,40,0),""))</f>
        <v/>
      </c>
    </row>
    <row r="134" customHeight="1" spans="1:40">
      <c r="A134" s="5" t="str">
        <f>IF(Sheet1!$A134="","",Sheet1!$A134)</f>
        <v/>
      </c>
      <c r="B134" s="5" t="str">
        <f t="shared" si="10"/>
        <v/>
      </c>
      <c r="C134" s="5" t="str">
        <f>IF($A134="","",IFERROR(VLOOKUP($A134,Sheet1!$A:$AN,3,0),""))</f>
        <v/>
      </c>
      <c r="D134" s="5" t="str">
        <f t="shared" si="11"/>
        <v/>
      </c>
      <c r="I134" s="5" t="str">
        <f t="shared" si="12"/>
        <v/>
      </c>
      <c r="M134" s="5" t="str">
        <f t="shared" si="13"/>
        <v/>
      </c>
      <c r="R134" s="5" t="str">
        <f>IF($A134="","",IFERROR(VLOOKUP($A134,Sheet1!A:AN,18,0),""))</f>
        <v/>
      </c>
      <c r="S134" s="5" t="str">
        <f>IF($A134="","",IFERROR(VLOOKUP($A134,Sheet1!$A:$AN,19,0),""))</f>
        <v/>
      </c>
      <c r="T134" s="5" t="str">
        <f t="shared" si="14"/>
        <v/>
      </c>
      <c r="U134" s="5" t="str">
        <f>IF($A134="","",IFERROR(VLOOKUP($A134,Sheet1!$A:$AN,21,0),""))</f>
        <v/>
      </c>
      <c r="V134" s="5" t="str">
        <f>IF($A134="","",IFERROR(SUBSTITUTE(VLOOKUP($A134,Sheet1!$A:$AN,22,0),"族",""),""))</f>
        <v/>
      </c>
      <c r="W134" s="5" t="str">
        <f>IF($A134="","",IFERROR(VLOOKUP($A134,Sheet1!$A:$AN,23,0),""))</f>
        <v/>
      </c>
      <c r="X134" s="5" t="str">
        <f>IF($A134="","",IFERROR(VLOOKUP($A134,Sheet1!$A:$AN,24,0),""))</f>
        <v/>
      </c>
      <c r="Y134" s="5" t="str">
        <f>IF($A134="","",IFERROR(VLOOKUP($A134,Sheet1!$A:$AN,25,0),""))</f>
        <v/>
      </c>
      <c r="AK134" s="5" t="str">
        <f>IF($A134="","",IFERROR(VLOOKUP($A134,Sheet1!$A:$AN,37,0),""))</f>
        <v/>
      </c>
      <c r="AL134" s="13" t="str">
        <f>IF($A134="","",IFERROR(VLOOKUP($A134,Sheet1!$A:$AN,38,0),""))</f>
        <v/>
      </c>
      <c r="AM134" s="13" t="str">
        <f>IF($A134="","",IFERROR(VLOOKUP($A134,Sheet1!$A:$AN,39,0),""))</f>
        <v/>
      </c>
      <c r="AN134" s="13" t="str">
        <f>IF($A134="","",IFERROR(VLOOKUP($A134,Sheet1!$A:$AN,40,0),""))</f>
        <v/>
      </c>
    </row>
    <row r="135" customHeight="1" spans="1:40">
      <c r="A135" s="5" t="str">
        <f>IF(Sheet1!$A135="","",Sheet1!$A135)</f>
        <v/>
      </c>
      <c r="B135" s="5" t="str">
        <f t="shared" si="10"/>
        <v/>
      </c>
      <c r="C135" s="5" t="str">
        <f>IF($A135="","",IFERROR(VLOOKUP($A135,Sheet1!$A:$AN,3,0),""))</f>
        <v/>
      </c>
      <c r="D135" s="5" t="str">
        <f t="shared" si="11"/>
        <v/>
      </c>
      <c r="I135" s="5" t="str">
        <f t="shared" si="12"/>
        <v/>
      </c>
      <c r="M135" s="5" t="str">
        <f t="shared" si="13"/>
        <v/>
      </c>
      <c r="R135" s="5" t="str">
        <f>IF($A135="","",IFERROR(VLOOKUP($A135,Sheet1!A:AN,18,0),""))</f>
        <v/>
      </c>
      <c r="S135" s="5" t="str">
        <f>IF($A135="","",IFERROR(VLOOKUP($A135,Sheet1!$A:$AN,19,0),""))</f>
        <v/>
      </c>
      <c r="T135" s="5" t="str">
        <f t="shared" si="14"/>
        <v/>
      </c>
      <c r="U135" s="5" t="str">
        <f>IF($A135="","",IFERROR(VLOOKUP($A135,Sheet1!$A:$AN,21,0),""))</f>
        <v/>
      </c>
      <c r="V135" s="5" t="str">
        <f>IF($A135="","",IFERROR(SUBSTITUTE(VLOOKUP($A135,Sheet1!$A:$AN,22,0),"族",""),""))</f>
        <v/>
      </c>
      <c r="W135" s="5" t="str">
        <f>IF($A135="","",IFERROR(VLOOKUP($A135,Sheet1!$A:$AN,23,0),""))</f>
        <v/>
      </c>
      <c r="X135" s="5" t="str">
        <f>IF($A135="","",IFERROR(VLOOKUP($A135,Sheet1!$A:$AN,24,0),""))</f>
        <v/>
      </c>
      <c r="Y135" s="5" t="str">
        <f>IF($A135="","",IFERROR(VLOOKUP($A135,Sheet1!$A:$AN,25,0),""))</f>
        <v/>
      </c>
      <c r="AK135" s="5" t="str">
        <f>IF($A135="","",IFERROR(VLOOKUP($A135,Sheet1!$A:$AN,37,0),""))</f>
        <v/>
      </c>
      <c r="AL135" s="13" t="str">
        <f>IF($A135="","",IFERROR(VLOOKUP($A135,Sheet1!$A:$AN,38,0),""))</f>
        <v/>
      </c>
      <c r="AM135" s="13" t="str">
        <f>IF($A135="","",IFERROR(VLOOKUP($A135,Sheet1!$A:$AN,39,0),""))</f>
        <v/>
      </c>
      <c r="AN135" s="13" t="str">
        <f>IF($A135="","",IFERROR(VLOOKUP($A135,Sheet1!$A:$AN,40,0),""))</f>
        <v/>
      </c>
    </row>
    <row r="136" customHeight="1" spans="1:40">
      <c r="A136" s="5" t="str">
        <f>IF(Sheet1!$A136="","",Sheet1!$A136)</f>
        <v/>
      </c>
      <c r="B136" s="5" t="str">
        <f t="shared" si="10"/>
        <v/>
      </c>
      <c r="C136" s="5" t="str">
        <f>IF($A136="","",IFERROR(VLOOKUP($A136,Sheet1!$A:$AN,3,0),""))</f>
        <v/>
      </c>
      <c r="D136" s="5" t="str">
        <f t="shared" si="11"/>
        <v/>
      </c>
      <c r="I136" s="5" t="str">
        <f t="shared" si="12"/>
        <v/>
      </c>
      <c r="M136" s="5" t="str">
        <f t="shared" si="13"/>
        <v/>
      </c>
      <c r="R136" s="5" t="str">
        <f>IF($A136="","",IFERROR(VLOOKUP($A136,Sheet1!A:AN,18,0),""))</f>
        <v/>
      </c>
      <c r="S136" s="5" t="str">
        <f>IF($A136="","",IFERROR(VLOOKUP($A136,Sheet1!$A:$AN,19,0),""))</f>
        <v/>
      </c>
      <c r="T136" s="5" t="str">
        <f t="shared" si="14"/>
        <v/>
      </c>
      <c r="U136" s="5" t="str">
        <f>IF($A136="","",IFERROR(VLOOKUP($A136,Sheet1!$A:$AN,21,0),""))</f>
        <v/>
      </c>
      <c r="V136" s="5" t="str">
        <f>IF($A136="","",IFERROR(SUBSTITUTE(VLOOKUP($A136,Sheet1!$A:$AN,22,0),"族",""),""))</f>
        <v/>
      </c>
      <c r="W136" s="5" t="str">
        <f>IF($A136="","",IFERROR(VLOOKUP($A136,Sheet1!$A:$AN,23,0),""))</f>
        <v/>
      </c>
      <c r="X136" s="5" t="str">
        <f>IF($A136="","",IFERROR(VLOOKUP($A136,Sheet1!$A:$AN,24,0),""))</f>
        <v/>
      </c>
      <c r="Y136" s="5" t="str">
        <f>IF($A136="","",IFERROR(VLOOKUP($A136,Sheet1!$A:$AN,25,0),""))</f>
        <v/>
      </c>
      <c r="AK136" s="5" t="str">
        <f>IF($A136="","",IFERROR(VLOOKUP($A136,Sheet1!$A:$AN,37,0),""))</f>
        <v/>
      </c>
      <c r="AL136" s="13" t="str">
        <f>IF($A136="","",IFERROR(VLOOKUP($A136,Sheet1!$A:$AN,38,0),""))</f>
        <v/>
      </c>
      <c r="AM136" s="13" t="str">
        <f>IF($A136="","",IFERROR(VLOOKUP($A136,Sheet1!$A:$AN,39,0),""))</f>
        <v/>
      </c>
      <c r="AN136" s="13" t="str">
        <f>IF($A136="","",IFERROR(VLOOKUP($A136,Sheet1!$A:$AN,40,0),""))</f>
        <v/>
      </c>
    </row>
    <row r="137" customHeight="1" spans="1:40">
      <c r="A137" s="5" t="str">
        <f>IF(Sheet1!$A137="","",Sheet1!$A137)</f>
        <v/>
      </c>
      <c r="B137" s="5" t="str">
        <f t="shared" si="10"/>
        <v/>
      </c>
      <c r="C137" s="5" t="str">
        <f>IF($A137="","",IFERROR(VLOOKUP($A137,Sheet1!$A:$AN,3,0),""))</f>
        <v/>
      </c>
      <c r="D137" s="5" t="str">
        <f t="shared" si="11"/>
        <v/>
      </c>
      <c r="I137" s="5" t="str">
        <f t="shared" si="12"/>
        <v/>
      </c>
      <c r="M137" s="5" t="str">
        <f t="shared" si="13"/>
        <v/>
      </c>
      <c r="R137" s="5" t="str">
        <f>IF($A137="","",IFERROR(VLOOKUP($A137,Sheet1!A:AN,18,0),""))</f>
        <v/>
      </c>
      <c r="S137" s="5" t="str">
        <f>IF($A137="","",IFERROR(VLOOKUP($A137,Sheet1!$A:$AN,19,0),""))</f>
        <v/>
      </c>
      <c r="T137" s="5" t="str">
        <f t="shared" si="14"/>
        <v/>
      </c>
      <c r="U137" s="5" t="str">
        <f>IF($A137="","",IFERROR(VLOOKUP($A137,Sheet1!$A:$AN,21,0),""))</f>
        <v/>
      </c>
      <c r="V137" s="5" t="str">
        <f>IF($A137="","",IFERROR(SUBSTITUTE(VLOOKUP($A137,Sheet1!$A:$AN,22,0),"族",""),""))</f>
        <v/>
      </c>
      <c r="W137" s="5" t="str">
        <f>IF($A137="","",IFERROR(VLOOKUP($A137,Sheet1!$A:$AN,23,0),""))</f>
        <v/>
      </c>
      <c r="X137" s="5" t="str">
        <f>IF($A137="","",IFERROR(VLOOKUP($A137,Sheet1!$A:$AN,24,0),""))</f>
        <v/>
      </c>
      <c r="Y137" s="5" t="str">
        <f>IF($A137="","",IFERROR(VLOOKUP($A137,Sheet1!$A:$AN,25,0),""))</f>
        <v/>
      </c>
      <c r="AK137" s="5" t="str">
        <f>IF($A137="","",IFERROR(VLOOKUP($A137,Sheet1!$A:$AN,37,0),""))</f>
        <v/>
      </c>
      <c r="AL137" s="13" t="str">
        <f>IF($A137="","",IFERROR(VLOOKUP($A137,Sheet1!$A:$AN,38,0),""))</f>
        <v/>
      </c>
      <c r="AM137" s="13" t="str">
        <f>IF($A137="","",IFERROR(VLOOKUP($A137,Sheet1!$A:$AN,39,0),""))</f>
        <v/>
      </c>
      <c r="AN137" s="13" t="str">
        <f>IF($A137="","",IFERROR(VLOOKUP($A137,Sheet1!$A:$AN,40,0),""))</f>
        <v/>
      </c>
    </row>
    <row r="138" customHeight="1" spans="1:40">
      <c r="A138" s="5" t="str">
        <f>IF(Sheet1!$A138="","",Sheet1!$A138)</f>
        <v/>
      </c>
      <c r="B138" s="5" t="str">
        <f t="shared" si="10"/>
        <v/>
      </c>
      <c r="C138" s="5" t="str">
        <f>IF($A138="","",IFERROR(VLOOKUP($A138,Sheet1!$A:$AN,3,0),""))</f>
        <v/>
      </c>
      <c r="D138" s="5" t="str">
        <f t="shared" si="11"/>
        <v/>
      </c>
      <c r="I138" s="5" t="str">
        <f t="shared" si="12"/>
        <v/>
      </c>
      <c r="M138" s="5" t="str">
        <f t="shared" si="13"/>
        <v/>
      </c>
      <c r="R138" s="5" t="str">
        <f>IF($A138="","",IFERROR(VLOOKUP($A138,Sheet1!A:AN,18,0),""))</f>
        <v/>
      </c>
      <c r="S138" s="5" t="str">
        <f>IF($A138="","",IFERROR(VLOOKUP($A138,Sheet1!$A:$AN,19,0),""))</f>
        <v/>
      </c>
      <c r="T138" s="5" t="str">
        <f t="shared" si="14"/>
        <v/>
      </c>
      <c r="U138" s="5" t="str">
        <f>IF($A138="","",IFERROR(VLOOKUP($A138,Sheet1!$A:$AN,21,0),""))</f>
        <v/>
      </c>
      <c r="V138" s="5" t="str">
        <f>IF($A138="","",IFERROR(SUBSTITUTE(VLOOKUP($A138,Sheet1!$A:$AN,22,0),"族",""),""))</f>
        <v/>
      </c>
      <c r="W138" s="5" t="str">
        <f>IF($A138="","",IFERROR(VLOOKUP($A138,Sheet1!$A:$AN,23,0),""))</f>
        <v/>
      </c>
      <c r="X138" s="5" t="str">
        <f>IF($A138="","",IFERROR(VLOOKUP($A138,Sheet1!$A:$AN,24,0),""))</f>
        <v/>
      </c>
      <c r="Y138" s="5" t="str">
        <f>IF($A138="","",IFERROR(VLOOKUP($A138,Sheet1!$A:$AN,25,0),""))</f>
        <v/>
      </c>
      <c r="AK138" s="5" t="str">
        <f>IF($A138="","",IFERROR(VLOOKUP($A138,Sheet1!$A:$AN,37,0),""))</f>
        <v/>
      </c>
      <c r="AL138" s="13" t="str">
        <f>IF($A138="","",IFERROR(VLOOKUP($A138,Sheet1!$A:$AN,38,0),""))</f>
        <v/>
      </c>
      <c r="AM138" s="13" t="str">
        <f>IF($A138="","",IFERROR(VLOOKUP($A138,Sheet1!$A:$AN,39,0),""))</f>
        <v/>
      </c>
      <c r="AN138" s="13" t="str">
        <f>IF($A138="","",IFERROR(VLOOKUP($A138,Sheet1!$A:$AN,40,0),""))</f>
        <v/>
      </c>
    </row>
    <row r="139" customHeight="1" spans="1:40">
      <c r="A139" s="5" t="str">
        <f>IF(Sheet1!$A139="","",Sheet1!$A139)</f>
        <v/>
      </c>
      <c r="B139" s="5" t="str">
        <f t="shared" si="10"/>
        <v/>
      </c>
      <c r="C139" s="5" t="str">
        <f>IF($A139="","",IFERROR(VLOOKUP($A139,Sheet1!$A:$AN,3,0),""))</f>
        <v/>
      </c>
      <c r="D139" s="5" t="str">
        <f t="shared" si="11"/>
        <v/>
      </c>
      <c r="I139" s="5" t="str">
        <f t="shared" si="12"/>
        <v/>
      </c>
      <c r="M139" s="5" t="str">
        <f t="shared" si="13"/>
        <v/>
      </c>
      <c r="R139" s="5" t="str">
        <f>IF($A139="","",IFERROR(VLOOKUP($A139,Sheet1!A:AN,18,0),""))</f>
        <v/>
      </c>
      <c r="S139" s="5" t="str">
        <f>IF($A139="","",IFERROR(VLOOKUP($A139,Sheet1!$A:$AN,19,0),""))</f>
        <v/>
      </c>
      <c r="T139" s="5" t="str">
        <f t="shared" si="14"/>
        <v/>
      </c>
      <c r="U139" s="5" t="str">
        <f>IF($A139="","",IFERROR(VLOOKUP($A139,Sheet1!$A:$AN,21,0),""))</f>
        <v/>
      </c>
      <c r="V139" s="5" t="str">
        <f>IF($A139="","",IFERROR(SUBSTITUTE(VLOOKUP($A139,Sheet1!$A:$AN,22,0),"族",""),""))</f>
        <v/>
      </c>
      <c r="W139" s="5" t="str">
        <f>IF($A139="","",IFERROR(VLOOKUP($A139,Sheet1!$A:$AN,23,0),""))</f>
        <v/>
      </c>
      <c r="X139" s="5" t="str">
        <f>IF($A139="","",IFERROR(VLOOKUP($A139,Sheet1!$A:$AN,24,0),""))</f>
        <v/>
      </c>
      <c r="Y139" s="5" t="str">
        <f>IF($A139="","",IFERROR(VLOOKUP($A139,Sheet1!$A:$AN,25,0),""))</f>
        <v/>
      </c>
      <c r="AK139" s="5" t="str">
        <f>IF($A139="","",IFERROR(VLOOKUP($A139,Sheet1!$A:$AN,37,0),""))</f>
        <v/>
      </c>
      <c r="AL139" s="13" t="str">
        <f>IF($A139="","",IFERROR(VLOOKUP($A139,Sheet1!$A:$AN,38,0),""))</f>
        <v/>
      </c>
      <c r="AM139" s="13" t="str">
        <f>IF($A139="","",IFERROR(VLOOKUP($A139,Sheet1!$A:$AN,39,0),""))</f>
        <v/>
      </c>
      <c r="AN139" s="13" t="str">
        <f>IF($A139="","",IFERROR(VLOOKUP($A139,Sheet1!$A:$AN,40,0),""))</f>
        <v/>
      </c>
    </row>
    <row r="140" customHeight="1" spans="1:40">
      <c r="A140" s="5" t="str">
        <f>IF(Sheet1!$A140="","",Sheet1!$A140)</f>
        <v/>
      </c>
      <c r="B140" s="5" t="str">
        <f t="shared" si="10"/>
        <v/>
      </c>
      <c r="C140" s="5" t="str">
        <f>IF($A140="","",IFERROR(VLOOKUP($A140,Sheet1!$A:$AN,3,0),""))</f>
        <v/>
      </c>
      <c r="D140" s="5" t="str">
        <f t="shared" si="11"/>
        <v/>
      </c>
      <c r="I140" s="5" t="str">
        <f t="shared" si="12"/>
        <v/>
      </c>
      <c r="M140" s="5" t="str">
        <f t="shared" si="13"/>
        <v/>
      </c>
      <c r="R140" s="5" t="str">
        <f>IF($A140="","",IFERROR(VLOOKUP($A140,Sheet1!A:AN,18,0),""))</f>
        <v/>
      </c>
      <c r="S140" s="5" t="str">
        <f>IF($A140="","",IFERROR(VLOOKUP($A140,Sheet1!$A:$AN,19,0),""))</f>
        <v/>
      </c>
      <c r="T140" s="5" t="str">
        <f t="shared" si="14"/>
        <v/>
      </c>
      <c r="U140" s="5" t="str">
        <f>IF($A140="","",IFERROR(VLOOKUP($A140,Sheet1!$A:$AN,21,0),""))</f>
        <v/>
      </c>
      <c r="V140" s="5" t="str">
        <f>IF($A140="","",IFERROR(SUBSTITUTE(VLOOKUP($A140,Sheet1!$A:$AN,22,0),"族",""),""))</f>
        <v/>
      </c>
      <c r="W140" s="5" t="str">
        <f>IF($A140="","",IFERROR(VLOOKUP($A140,Sheet1!$A:$AN,23,0),""))</f>
        <v/>
      </c>
      <c r="X140" s="5" t="str">
        <f>IF($A140="","",IFERROR(VLOOKUP($A140,Sheet1!$A:$AN,24,0),""))</f>
        <v/>
      </c>
      <c r="Y140" s="5" t="str">
        <f>IF($A140="","",IFERROR(VLOOKUP($A140,Sheet1!$A:$AN,25,0),""))</f>
        <v/>
      </c>
      <c r="AK140" s="5" t="str">
        <f>IF($A140="","",IFERROR(VLOOKUP($A140,Sheet1!$A:$AN,37,0),""))</f>
        <v/>
      </c>
      <c r="AL140" s="13" t="str">
        <f>IF($A140="","",IFERROR(VLOOKUP($A140,Sheet1!$A:$AN,38,0),""))</f>
        <v/>
      </c>
      <c r="AM140" s="13" t="str">
        <f>IF($A140="","",IFERROR(VLOOKUP($A140,Sheet1!$A:$AN,39,0),""))</f>
        <v/>
      </c>
      <c r="AN140" s="13" t="str">
        <f>IF($A140="","",IFERROR(VLOOKUP($A140,Sheet1!$A:$AN,40,0),""))</f>
        <v/>
      </c>
    </row>
    <row r="141" customHeight="1" spans="1:40">
      <c r="A141" s="5" t="str">
        <f>IF(Sheet1!$A141="","",Sheet1!$A141)</f>
        <v/>
      </c>
      <c r="B141" s="5" t="str">
        <f t="shared" si="10"/>
        <v/>
      </c>
      <c r="C141" s="5" t="str">
        <f>IF($A141="","",IFERROR(VLOOKUP($A141,Sheet1!$A:$AN,3,0),""))</f>
        <v/>
      </c>
      <c r="D141" s="5" t="str">
        <f t="shared" si="11"/>
        <v/>
      </c>
      <c r="I141" s="5" t="str">
        <f t="shared" si="12"/>
        <v/>
      </c>
      <c r="M141" s="5" t="str">
        <f t="shared" si="13"/>
        <v/>
      </c>
      <c r="R141" s="5" t="str">
        <f>IF($A141="","",IFERROR(VLOOKUP($A141,Sheet1!A:AN,18,0),""))</f>
        <v/>
      </c>
      <c r="S141" s="5" t="str">
        <f>IF($A141="","",IFERROR(VLOOKUP($A141,Sheet1!$A:$AN,19,0),""))</f>
        <v/>
      </c>
      <c r="T141" s="5" t="str">
        <f t="shared" si="14"/>
        <v/>
      </c>
      <c r="U141" s="5" t="str">
        <f>IF($A141="","",IFERROR(VLOOKUP($A141,Sheet1!$A:$AN,21,0),""))</f>
        <v/>
      </c>
      <c r="V141" s="5" t="str">
        <f>IF($A141="","",IFERROR(SUBSTITUTE(VLOOKUP($A141,Sheet1!$A:$AN,22,0),"族",""),""))</f>
        <v/>
      </c>
      <c r="W141" s="5" t="str">
        <f>IF($A141="","",IFERROR(VLOOKUP($A141,Sheet1!$A:$AN,23,0),""))</f>
        <v/>
      </c>
      <c r="X141" s="5" t="str">
        <f>IF($A141="","",IFERROR(VLOOKUP($A141,Sheet1!$A:$AN,24,0),""))</f>
        <v/>
      </c>
      <c r="Y141" s="5" t="str">
        <f>IF($A141="","",IFERROR(VLOOKUP($A141,Sheet1!$A:$AN,25,0),""))</f>
        <v/>
      </c>
      <c r="AK141" s="5" t="str">
        <f>IF($A141="","",IFERROR(VLOOKUP($A141,Sheet1!$A:$AN,37,0),""))</f>
        <v/>
      </c>
      <c r="AL141" s="13" t="str">
        <f>IF($A141="","",IFERROR(VLOOKUP($A141,Sheet1!$A:$AN,38,0),""))</f>
        <v/>
      </c>
      <c r="AM141" s="13" t="str">
        <f>IF($A141="","",IFERROR(VLOOKUP($A141,Sheet1!$A:$AN,39,0),""))</f>
        <v/>
      </c>
      <c r="AN141" s="13" t="str">
        <f>IF($A141="","",IFERROR(VLOOKUP($A141,Sheet1!$A:$AN,40,0),""))</f>
        <v/>
      </c>
    </row>
    <row r="142" customHeight="1" spans="1:40">
      <c r="A142" s="5" t="str">
        <f>IF(Sheet1!$A142="","",Sheet1!$A142)</f>
        <v/>
      </c>
      <c r="B142" s="5" t="str">
        <f t="shared" si="10"/>
        <v/>
      </c>
      <c r="C142" s="5" t="str">
        <f>IF($A142="","",IFERROR(VLOOKUP($A142,Sheet1!$A:$AN,3,0),""))</f>
        <v/>
      </c>
      <c r="D142" s="5" t="str">
        <f t="shared" si="11"/>
        <v/>
      </c>
      <c r="I142" s="5" t="str">
        <f t="shared" si="12"/>
        <v/>
      </c>
      <c r="M142" s="5" t="str">
        <f t="shared" si="13"/>
        <v/>
      </c>
      <c r="R142" s="5" t="str">
        <f>IF($A142="","",IFERROR(VLOOKUP($A142,Sheet1!A:AN,18,0),""))</f>
        <v/>
      </c>
      <c r="S142" s="5" t="str">
        <f>IF($A142="","",IFERROR(VLOOKUP($A142,Sheet1!$A:$AN,19,0),""))</f>
        <v/>
      </c>
      <c r="T142" s="5" t="str">
        <f t="shared" si="14"/>
        <v/>
      </c>
      <c r="U142" s="5" t="str">
        <f>IF($A142="","",IFERROR(VLOOKUP($A142,Sheet1!$A:$AN,21,0),""))</f>
        <v/>
      </c>
      <c r="V142" s="5" t="str">
        <f>IF($A142="","",IFERROR(SUBSTITUTE(VLOOKUP($A142,Sheet1!$A:$AN,22,0),"族",""),""))</f>
        <v/>
      </c>
      <c r="W142" s="5" t="str">
        <f>IF($A142="","",IFERROR(VLOOKUP($A142,Sheet1!$A:$AN,23,0),""))</f>
        <v/>
      </c>
      <c r="X142" s="5" t="str">
        <f>IF($A142="","",IFERROR(VLOOKUP($A142,Sheet1!$A:$AN,24,0),""))</f>
        <v/>
      </c>
      <c r="Y142" s="5" t="str">
        <f>IF($A142="","",IFERROR(VLOOKUP($A142,Sheet1!$A:$AN,25,0),""))</f>
        <v/>
      </c>
      <c r="AK142" s="5" t="str">
        <f>IF($A142="","",IFERROR(VLOOKUP($A142,Sheet1!$A:$AN,37,0),""))</f>
        <v/>
      </c>
      <c r="AL142" s="13" t="str">
        <f>IF($A142="","",IFERROR(VLOOKUP($A142,Sheet1!$A:$AN,38,0),""))</f>
        <v/>
      </c>
      <c r="AM142" s="13" t="str">
        <f>IF($A142="","",IFERROR(VLOOKUP($A142,Sheet1!$A:$AN,39,0),""))</f>
        <v/>
      </c>
      <c r="AN142" s="13" t="str">
        <f>IF($A142="","",IFERROR(VLOOKUP($A142,Sheet1!$A:$AN,40,0),""))</f>
        <v/>
      </c>
    </row>
    <row r="143" customHeight="1" spans="1:40">
      <c r="A143" s="5" t="str">
        <f>IF(Sheet1!$A143="","",Sheet1!$A143)</f>
        <v/>
      </c>
      <c r="B143" s="5" t="str">
        <f t="shared" si="10"/>
        <v/>
      </c>
      <c r="C143" s="5" t="str">
        <f>IF($A143="","",IFERROR(VLOOKUP($A143,Sheet1!$A:$AN,3,0),""))</f>
        <v/>
      </c>
      <c r="D143" s="5" t="str">
        <f t="shared" si="11"/>
        <v/>
      </c>
      <c r="I143" s="5" t="str">
        <f t="shared" si="12"/>
        <v/>
      </c>
      <c r="M143" s="5" t="str">
        <f t="shared" si="13"/>
        <v/>
      </c>
      <c r="R143" s="5" t="str">
        <f>IF($A143="","",IFERROR(VLOOKUP($A143,Sheet1!A:AN,18,0),""))</f>
        <v/>
      </c>
      <c r="S143" s="5" t="str">
        <f>IF($A143="","",IFERROR(VLOOKUP($A143,Sheet1!$A:$AN,19,0),""))</f>
        <v/>
      </c>
      <c r="T143" s="5" t="str">
        <f t="shared" si="14"/>
        <v/>
      </c>
      <c r="U143" s="5" t="str">
        <f>IF($A143="","",IFERROR(VLOOKUP($A143,Sheet1!$A:$AN,21,0),""))</f>
        <v/>
      </c>
      <c r="V143" s="5" t="str">
        <f>IF($A143="","",IFERROR(SUBSTITUTE(VLOOKUP($A143,Sheet1!$A:$AN,22,0),"族",""),""))</f>
        <v/>
      </c>
      <c r="W143" s="5" t="str">
        <f>IF($A143="","",IFERROR(VLOOKUP($A143,Sheet1!$A:$AN,23,0),""))</f>
        <v/>
      </c>
      <c r="X143" s="5" t="str">
        <f>IF($A143="","",IFERROR(VLOOKUP($A143,Sheet1!$A:$AN,24,0),""))</f>
        <v/>
      </c>
      <c r="Y143" s="5" t="str">
        <f>IF($A143="","",IFERROR(VLOOKUP($A143,Sheet1!$A:$AN,25,0),""))</f>
        <v/>
      </c>
      <c r="AK143" s="5" t="str">
        <f>IF($A143="","",IFERROR(VLOOKUP($A143,Sheet1!$A:$AN,37,0),""))</f>
        <v/>
      </c>
      <c r="AL143" s="13" t="str">
        <f>IF($A143="","",IFERROR(VLOOKUP($A143,Sheet1!$A:$AN,38,0),""))</f>
        <v/>
      </c>
      <c r="AM143" s="13" t="str">
        <f>IF($A143="","",IFERROR(VLOOKUP($A143,Sheet1!$A:$AN,39,0),""))</f>
        <v/>
      </c>
      <c r="AN143" s="13" t="str">
        <f>IF($A143="","",IFERROR(VLOOKUP($A143,Sheet1!$A:$AN,40,0),""))</f>
        <v/>
      </c>
    </row>
    <row r="144" customHeight="1" spans="1:40">
      <c r="A144" s="5" t="str">
        <f>IF(Sheet1!$A144="","",Sheet1!$A144)</f>
        <v/>
      </c>
      <c r="B144" s="5" t="str">
        <f t="shared" si="10"/>
        <v/>
      </c>
      <c r="C144" s="5" t="str">
        <f>IF($A144="","",IFERROR(VLOOKUP($A144,Sheet1!$A:$AN,3,0),""))</f>
        <v/>
      </c>
      <c r="D144" s="5" t="str">
        <f t="shared" si="11"/>
        <v/>
      </c>
      <c r="I144" s="5" t="str">
        <f t="shared" si="12"/>
        <v/>
      </c>
      <c r="M144" s="5" t="str">
        <f t="shared" si="13"/>
        <v/>
      </c>
      <c r="R144" s="5" t="str">
        <f>IF($A144="","",IFERROR(VLOOKUP($A144,Sheet1!A:AN,18,0),""))</f>
        <v/>
      </c>
      <c r="S144" s="5" t="str">
        <f>IF($A144="","",IFERROR(VLOOKUP($A144,Sheet1!$A:$AN,19,0),""))</f>
        <v/>
      </c>
      <c r="T144" s="5" t="str">
        <f t="shared" si="14"/>
        <v/>
      </c>
      <c r="U144" s="5" t="str">
        <f>IF($A144="","",IFERROR(VLOOKUP($A144,Sheet1!$A:$AN,21,0),""))</f>
        <v/>
      </c>
      <c r="V144" s="5" t="str">
        <f>IF($A144="","",IFERROR(SUBSTITUTE(VLOOKUP($A144,Sheet1!$A:$AN,22,0),"族",""),""))</f>
        <v/>
      </c>
      <c r="W144" s="5" t="str">
        <f>IF($A144="","",IFERROR(VLOOKUP($A144,Sheet1!$A:$AN,23,0),""))</f>
        <v/>
      </c>
      <c r="X144" s="5" t="str">
        <f>IF($A144="","",IFERROR(VLOOKUP($A144,Sheet1!$A:$AN,24,0),""))</f>
        <v/>
      </c>
      <c r="Y144" s="5" t="str">
        <f>IF($A144="","",IFERROR(VLOOKUP($A144,Sheet1!$A:$AN,25,0),""))</f>
        <v/>
      </c>
      <c r="AK144" s="5" t="str">
        <f>IF($A144="","",IFERROR(VLOOKUP($A144,Sheet1!$A:$AN,37,0),""))</f>
        <v/>
      </c>
      <c r="AL144" s="13" t="str">
        <f>IF($A144="","",IFERROR(VLOOKUP($A144,Sheet1!$A:$AN,38,0),""))</f>
        <v/>
      </c>
      <c r="AM144" s="13" t="str">
        <f>IF($A144="","",IFERROR(VLOOKUP($A144,Sheet1!$A:$AN,39,0),""))</f>
        <v/>
      </c>
      <c r="AN144" s="13" t="str">
        <f>IF($A144="","",IFERROR(VLOOKUP($A144,Sheet1!$A:$AN,40,0),""))</f>
        <v/>
      </c>
    </row>
    <row r="145" customHeight="1" spans="1:40">
      <c r="A145" s="5" t="str">
        <f>IF(Sheet1!$A145="","",Sheet1!$A145)</f>
        <v/>
      </c>
      <c r="B145" s="5" t="str">
        <f t="shared" si="10"/>
        <v/>
      </c>
      <c r="C145" s="5" t="str">
        <f>IF($A145="","",IFERROR(VLOOKUP($A145,Sheet1!$A:$AN,3,0),""))</f>
        <v/>
      </c>
      <c r="D145" s="5" t="str">
        <f t="shared" si="11"/>
        <v/>
      </c>
      <c r="I145" s="5" t="str">
        <f t="shared" si="12"/>
        <v/>
      </c>
      <c r="M145" s="5" t="str">
        <f t="shared" si="13"/>
        <v/>
      </c>
      <c r="R145" s="5" t="str">
        <f>IF($A145="","",IFERROR(VLOOKUP($A145,Sheet1!A:AN,18,0),""))</f>
        <v/>
      </c>
      <c r="S145" s="5" t="str">
        <f>IF($A145="","",IFERROR(VLOOKUP($A145,Sheet1!$A:$AN,19,0),""))</f>
        <v/>
      </c>
      <c r="T145" s="5" t="str">
        <f t="shared" si="14"/>
        <v/>
      </c>
      <c r="U145" s="5" t="str">
        <f>IF($A145="","",IFERROR(VLOOKUP($A145,Sheet1!$A:$AN,21,0),""))</f>
        <v/>
      </c>
      <c r="V145" s="5" t="str">
        <f>IF($A145="","",IFERROR(SUBSTITUTE(VLOOKUP($A145,Sheet1!$A:$AN,22,0),"族",""),""))</f>
        <v/>
      </c>
      <c r="W145" s="5" t="str">
        <f>IF($A145="","",IFERROR(VLOOKUP($A145,Sheet1!$A:$AN,23,0),""))</f>
        <v/>
      </c>
      <c r="X145" s="5" t="str">
        <f>IF($A145="","",IFERROR(VLOOKUP($A145,Sheet1!$A:$AN,24,0),""))</f>
        <v/>
      </c>
      <c r="Y145" s="5" t="str">
        <f>IF($A145="","",IFERROR(VLOOKUP($A145,Sheet1!$A:$AN,25,0),""))</f>
        <v/>
      </c>
      <c r="AK145" s="5" t="str">
        <f>IF($A145="","",IFERROR(VLOOKUP($A145,Sheet1!$A:$AN,37,0),""))</f>
        <v/>
      </c>
      <c r="AL145" s="13" t="str">
        <f>IF($A145="","",IFERROR(VLOOKUP($A145,Sheet1!$A:$AN,38,0),""))</f>
        <v/>
      </c>
      <c r="AM145" s="13" t="str">
        <f>IF($A145="","",IFERROR(VLOOKUP($A145,Sheet1!$A:$AN,39,0),""))</f>
        <v/>
      </c>
      <c r="AN145" s="13" t="str">
        <f>IF($A145="","",IFERROR(VLOOKUP($A145,Sheet1!$A:$AN,40,0),""))</f>
        <v/>
      </c>
    </row>
    <row r="146" customHeight="1" spans="1:40">
      <c r="A146" s="5" t="str">
        <f>IF(Sheet1!$A146="","",Sheet1!$A146)</f>
        <v/>
      </c>
      <c r="B146" s="5" t="str">
        <f t="shared" si="10"/>
        <v/>
      </c>
      <c r="C146" s="5" t="str">
        <f>IF($A146="","",IFERROR(VLOOKUP($A146,Sheet1!$A:$AN,3,0),""))</f>
        <v/>
      </c>
      <c r="D146" s="5" t="str">
        <f t="shared" si="11"/>
        <v/>
      </c>
      <c r="I146" s="5" t="str">
        <f t="shared" si="12"/>
        <v/>
      </c>
      <c r="M146" s="5" t="str">
        <f t="shared" si="13"/>
        <v/>
      </c>
      <c r="R146" s="5" t="str">
        <f>IF($A146="","",IFERROR(VLOOKUP($A146,Sheet1!A:AN,18,0),""))</f>
        <v/>
      </c>
      <c r="S146" s="5" t="str">
        <f>IF($A146="","",IFERROR(VLOOKUP($A146,Sheet1!$A:$AN,19,0),""))</f>
        <v/>
      </c>
      <c r="T146" s="5" t="str">
        <f t="shared" si="14"/>
        <v/>
      </c>
      <c r="U146" s="5" t="str">
        <f>IF($A146="","",IFERROR(VLOOKUP($A146,Sheet1!$A:$AN,21,0),""))</f>
        <v/>
      </c>
      <c r="V146" s="5" t="str">
        <f>IF($A146="","",IFERROR(SUBSTITUTE(VLOOKUP($A146,Sheet1!$A:$AN,22,0),"族",""),""))</f>
        <v/>
      </c>
      <c r="W146" s="5" t="str">
        <f>IF($A146="","",IFERROR(VLOOKUP($A146,Sheet1!$A:$AN,23,0),""))</f>
        <v/>
      </c>
      <c r="X146" s="5" t="str">
        <f>IF($A146="","",IFERROR(VLOOKUP($A146,Sheet1!$A:$AN,24,0),""))</f>
        <v/>
      </c>
      <c r="Y146" s="5" t="str">
        <f>IF($A146="","",IFERROR(VLOOKUP($A146,Sheet1!$A:$AN,25,0),""))</f>
        <v/>
      </c>
      <c r="AK146" s="5" t="str">
        <f>IF($A146="","",IFERROR(VLOOKUP($A146,Sheet1!$A:$AN,37,0),""))</f>
        <v/>
      </c>
      <c r="AL146" s="13" t="str">
        <f>IF($A146="","",IFERROR(VLOOKUP($A146,Sheet1!$A:$AN,38,0),""))</f>
        <v/>
      </c>
      <c r="AM146" s="13" t="str">
        <f>IF($A146="","",IFERROR(VLOOKUP($A146,Sheet1!$A:$AN,39,0),""))</f>
        <v/>
      </c>
      <c r="AN146" s="13" t="str">
        <f>IF($A146="","",IFERROR(VLOOKUP($A146,Sheet1!$A:$AN,40,0),""))</f>
        <v/>
      </c>
    </row>
    <row r="147" customHeight="1" spans="1:40">
      <c r="A147" s="5" t="str">
        <f>IF(Sheet1!$A147="","",Sheet1!$A147)</f>
        <v/>
      </c>
      <c r="B147" s="5" t="str">
        <f t="shared" si="10"/>
        <v/>
      </c>
      <c r="C147" s="5" t="str">
        <f>IF($A147="","",IFERROR(VLOOKUP($A147,Sheet1!$A:$AN,3,0),""))</f>
        <v/>
      </c>
      <c r="D147" s="5" t="str">
        <f t="shared" si="11"/>
        <v/>
      </c>
      <c r="I147" s="5" t="str">
        <f t="shared" si="12"/>
        <v/>
      </c>
      <c r="M147" s="5" t="str">
        <f t="shared" si="13"/>
        <v/>
      </c>
      <c r="R147" s="5" t="str">
        <f>IF($A147="","",IFERROR(VLOOKUP($A147,Sheet1!A:AN,18,0),""))</f>
        <v/>
      </c>
      <c r="S147" s="5" t="str">
        <f>IF($A147="","",IFERROR(VLOOKUP($A147,Sheet1!$A:$AN,19,0),""))</f>
        <v/>
      </c>
      <c r="T147" s="5" t="str">
        <f t="shared" si="14"/>
        <v/>
      </c>
      <c r="U147" s="5" t="str">
        <f>IF($A147="","",IFERROR(VLOOKUP($A147,Sheet1!$A:$AN,21,0),""))</f>
        <v/>
      </c>
      <c r="V147" s="5" t="str">
        <f>IF($A147="","",IFERROR(SUBSTITUTE(VLOOKUP($A147,Sheet1!$A:$AN,22,0),"族",""),""))</f>
        <v/>
      </c>
      <c r="W147" s="5" t="str">
        <f>IF($A147="","",IFERROR(VLOOKUP($A147,Sheet1!$A:$AN,23,0),""))</f>
        <v/>
      </c>
      <c r="X147" s="5" t="str">
        <f>IF($A147="","",IFERROR(VLOOKUP($A147,Sheet1!$A:$AN,24,0),""))</f>
        <v/>
      </c>
      <c r="Y147" s="5" t="str">
        <f>IF($A147="","",IFERROR(VLOOKUP($A147,Sheet1!$A:$AN,25,0),""))</f>
        <v/>
      </c>
      <c r="AK147" s="5" t="str">
        <f>IF($A147="","",IFERROR(VLOOKUP($A147,Sheet1!$A:$AN,37,0),""))</f>
        <v/>
      </c>
      <c r="AL147" s="13" t="str">
        <f>IF($A147="","",IFERROR(VLOOKUP($A147,Sheet1!$A:$AN,38,0),""))</f>
        <v/>
      </c>
      <c r="AM147" s="13" t="str">
        <f>IF($A147="","",IFERROR(VLOOKUP($A147,Sheet1!$A:$AN,39,0),""))</f>
        <v/>
      </c>
      <c r="AN147" s="13" t="str">
        <f>IF($A147="","",IFERROR(VLOOKUP($A147,Sheet1!$A:$AN,40,0),""))</f>
        <v/>
      </c>
    </row>
    <row r="148" customHeight="1" spans="1:40">
      <c r="A148" s="5" t="str">
        <f>IF(Sheet1!$A148="","",Sheet1!$A148)</f>
        <v/>
      </c>
      <c r="B148" s="5" t="str">
        <f t="shared" si="10"/>
        <v/>
      </c>
      <c r="C148" s="5" t="str">
        <f>IF($A148="","",IFERROR(VLOOKUP($A148,Sheet1!$A:$AN,3,0),""))</f>
        <v/>
      </c>
      <c r="D148" s="5" t="str">
        <f t="shared" si="11"/>
        <v/>
      </c>
      <c r="I148" s="5" t="str">
        <f t="shared" si="12"/>
        <v/>
      </c>
      <c r="M148" s="5" t="str">
        <f t="shared" si="13"/>
        <v/>
      </c>
      <c r="R148" s="5" t="str">
        <f>IF($A148="","",IFERROR(VLOOKUP($A148,Sheet1!A:AN,18,0),""))</f>
        <v/>
      </c>
      <c r="S148" s="5" t="str">
        <f>IF($A148="","",IFERROR(VLOOKUP($A148,Sheet1!$A:$AN,19,0),""))</f>
        <v/>
      </c>
      <c r="T148" s="5" t="str">
        <f t="shared" si="14"/>
        <v/>
      </c>
      <c r="U148" s="5" t="str">
        <f>IF($A148="","",IFERROR(VLOOKUP($A148,Sheet1!$A:$AN,21,0),""))</f>
        <v/>
      </c>
      <c r="V148" s="5" t="str">
        <f>IF($A148="","",IFERROR(SUBSTITUTE(VLOOKUP($A148,Sheet1!$A:$AN,22,0),"族",""),""))</f>
        <v/>
      </c>
      <c r="W148" s="5" t="str">
        <f>IF($A148="","",IFERROR(VLOOKUP($A148,Sheet1!$A:$AN,23,0),""))</f>
        <v/>
      </c>
      <c r="X148" s="5" t="str">
        <f>IF($A148="","",IFERROR(VLOOKUP($A148,Sheet1!$A:$AN,24,0),""))</f>
        <v/>
      </c>
      <c r="Y148" s="5" t="str">
        <f>IF($A148="","",IFERROR(VLOOKUP($A148,Sheet1!$A:$AN,25,0),""))</f>
        <v/>
      </c>
      <c r="AK148" s="5" t="str">
        <f>IF($A148="","",IFERROR(VLOOKUP($A148,Sheet1!$A:$AN,37,0),""))</f>
        <v/>
      </c>
      <c r="AL148" s="13" t="str">
        <f>IF($A148="","",IFERROR(VLOOKUP($A148,Sheet1!$A:$AN,38,0),""))</f>
        <v/>
      </c>
      <c r="AM148" s="13" t="str">
        <f>IF($A148="","",IFERROR(VLOOKUP($A148,Sheet1!$A:$AN,39,0),""))</f>
        <v/>
      </c>
      <c r="AN148" s="13" t="str">
        <f>IF($A148="","",IFERROR(VLOOKUP($A148,Sheet1!$A:$AN,40,0),""))</f>
        <v/>
      </c>
    </row>
    <row r="149" customHeight="1" spans="1:40">
      <c r="A149" s="5" t="str">
        <f>IF(Sheet1!$A149="","",Sheet1!$A149)</f>
        <v/>
      </c>
      <c r="B149" s="5" t="str">
        <f t="shared" si="10"/>
        <v/>
      </c>
      <c r="C149" s="5" t="str">
        <f>IF($A149="","",IFERROR(VLOOKUP($A149,Sheet1!$A:$AN,3,0),""))</f>
        <v/>
      </c>
      <c r="D149" s="5" t="str">
        <f t="shared" si="11"/>
        <v/>
      </c>
      <c r="I149" s="5" t="str">
        <f t="shared" si="12"/>
        <v/>
      </c>
      <c r="M149" s="5" t="str">
        <f t="shared" si="13"/>
        <v/>
      </c>
      <c r="R149" s="5" t="str">
        <f>IF($A149="","",IFERROR(VLOOKUP($A149,Sheet1!A:AN,18,0),""))</f>
        <v/>
      </c>
      <c r="S149" s="5" t="str">
        <f>IF($A149="","",IFERROR(VLOOKUP($A149,Sheet1!$A:$AN,19,0),""))</f>
        <v/>
      </c>
      <c r="T149" s="5" t="str">
        <f t="shared" si="14"/>
        <v/>
      </c>
      <c r="U149" s="5" t="str">
        <f>IF($A149="","",IFERROR(VLOOKUP($A149,Sheet1!$A:$AN,21,0),""))</f>
        <v/>
      </c>
      <c r="V149" s="5" t="str">
        <f>IF($A149="","",IFERROR(SUBSTITUTE(VLOOKUP($A149,Sheet1!$A:$AN,22,0),"族",""),""))</f>
        <v/>
      </c>
      <c r="W149" s="5" t="str">
        <f>IF($A149="","",IFERROR(VLOOKUP($A149,Sheet1!$A:$AN,23,0),""))</f>
        <v/>
      </c>
      <c r="X149" s="5" t="str">
        <f>IF($A149="","",IFERROR(VLOOKUP($A149,Sheet1!$A:$AN,24,0),""))</f>
        <v/>
      </c>
      <c r="Y149" s="5" t="str">
        <f>IF($A149="","",IFERROR(VLOOKUP($A149,Sheet1!$A:$AN,25,0),""))</f>
        <v/>
      </c>
      <c r="AK149" s="5" t="str">
        <f>IF($A149="","",IFERROR(VLOOKUP($A149,Sheet1!$A:$AN,37,0),""))</f>
        <v/>
      </c>
      <c r="AL149" s="13" t="str">
        <f>IF($A149="","",IFERROR(VLOOKUP($A149,Sheet1!$A:$AN,38,0),""))</f>
        <v/>
      </c>
      <c r="AM149" s="13" t="str">
        <f>IF($A149="","",IFERROR(VLOOKUP($A149,Sheet1!$A:$AN,39,0),""))</f>
        <v/>
      </c>
      <c r="AN149" s="13" t="str">
        <f>IF($A149="","",IFERROR(VLOOKUP($A149,Sheet1!$A:$AN,40,0),""))</f>
        <v/>
      </c>
    </row>
    <row r="150" customHeight="1" spans="1:40">
      <c r="A150" s="5" t="str">
        <f>IF(Sheet1!$A150="","",Sheet1!$A150)</f>
        <v/>
      </c>
      <c r="B150" s="5" t="str">
        <f t="shared" si="10"/>
        <v/>
      </c>
      <c r="C150" s="5" t="str">
        <f>IF($A150="","",IFERROR(VLOOKUP($A150,Sheet1!$A:$AN,3,0),""))</f>
        <v/>
      </c>
      <c r="D150" s="5" t="str">
        <f t="shared" si="11"/>
        <v/>
      </c>
      <c r="I150" s="5" t="str">
        <f t="shared" si="12"/>
        <v/>
      </c>
      <c r="M150" s="5" t="str">
        <f t="shared" si="13"/>
        <v/>
      </c>
      <c r="R150" s="5" t="str">
        <f>IF($A150="","",IFERROR(VLOOKUP($A150,Sheet1!A:AN,18,0),""))</f>
        <v/>
      </c>
      <c r="S150" s="5" t="str">
        <f>IF($A150="","",IFERROR(VLOOKUP($A150,Sheet1!$A:$AN,19,0),""))</f>
        <v/>
      </c>
      <c r="T150" s="5" t="str">
        <f t="shared" si="14"/>
        <v/>
      </c>
      <c r="U150" s="5" t="str">
        <f>IF($A150="","",IFERROR(VLOOKUP($A150,Sheet1!$A:$AN,21,0),""))</f>
        <v/>
      </c>
      <c r="V150" s="5" t="str">
        <f>IF($A150="","",IFERROR(SUBSTITUTE(VLOOKUP($A150,Sheet1!$A:$AN,22,0),"族",""),""))</f>
        <v/>
      </c>
      <c r="W150" s="5" t="str">
        <f>IF($A150="","",IFERROR(VLOOKUP($A150,Sheet1!$A:$AN,23,0),""))</f>
        <v/>
      </c>
      <c r="X150" s="5" t="str">
        <f>IF($A150="","",IFERROR(VLOOKUP($A150,Sheet1!$A:$AN,24,0),""))</f>
        <v/>
      </c>
      <c r="Y150" s="5" t="str">
        <f>IF($A150="","",IFERROR(VLOOKUP($A150,Sheet1!$A:$AN,25,0),""))</f>
        <v/>
      </c>
      <c r="AK150" s="5" t="str">
        <f>IF($A150="","",IFERROR(VLOOKUP($A150,Sheet1!$A:$AN,37,0),""))</f>
        <v/>
      </c>
      <c r="AL150" s="13" t="str">
        <f>IF($A150="","",IFERROR(VLOOKUP($A150,Sheet1!$A:$AN,38,0),""))</f>
        <v/>
      </c>
      <c r="AM150" s="13" t="str">
        <f>IF($A150="","",IFERROR(VLOOKUP($A150,Sheet1!$A:$AN,39,0),""))</f>
        <v/>
      </c>
      <c r="AN150" s="13" t="str">
        <f>IF($A150="","",IFERROR(VLOOKUP($A150,Sheet1!$A:$AN,40,0),""))</f>
        <v/>
      </c>
    </row>
    <row r="151" customHeight="1" spans="1:40">
      <c r="A151" s="5" t="str">
        <f>IF(Sheet1!$A151="","",Sheet1!$A151)</f>
        <v/>
      </c>
      <c r="B151" s="5" t="str">
        <f t="shared" si="10"/>
        <v/>
      </c>
      <c r="C151" s="5" t="str">
        <f>IF($A151="","",IFERROR(VLOOKUP($A151,Sheet1!$A:$AN,3,0),""))</f>
        <v/>
      </c>
      <c r="D151" s="5" t="str">
        <f t="shared" si="11"/>
        <v/>
      </c>
      <c r="I151" s="5" t="str">
        <f t="shared" si="12"/>
        <v/>
      </c>
      <c r="M151" s="5" t="str">
        <f t="shared" si="13"/>
        <v/>
      </c>
      <c r="R151" s="5" t="str">
        <f>IF($A151="","",IFERROR(VLOOKUP($A151,Sheet1!A:AN,18,0),""))</f>
        <v/>
      </c>
      <c r="S151" s="5" t="str">
        <f>IF($A151="","",IFERROR(VLOOKUP($A151,Sheet1!$A:$AN,19,0),""))</f>
        <v/>
      </c>
      <c r="T151" s="5" t="str">
        <f t="shared" si="14"/>
        <v/>
      </c>
      <c r="U151" s="5" t="str">
        <f>IF($A151="","",IFERROR(VLOOKUP($A151,Sheet1!$A:$AN,21,0),""))</f>
        <v/>
      </c>
      <c r="V151" s="5" t="str">
        <f>IF($A151="","",IFERROR(SUBSTITUTE(VLOOKUP($A151,Sheet1!$A:$AN,22,0),"族",""),""))</f>
        <v/>
      </c>
      <c r="W151" s="5" t="str">
        <f>IF($A151="","",IFERROR(VLOOKUP($A151,Sheet1!$A:$AN,23,0),""))</f>
        <v/>
      </c>
      <c r="X151" s="5" t="str">
        <f>IF($A151="","",IFERROR(VLOOKUP($A151,Sheet1!$A:$AN,24,0),""))</f>
        <v/>
      </c>
      <c r="Y151" s="5" t="str">
        <f>IF($A151="","",IFERROR(VLOOKUP($A151,Sheet1!$A:$AN,25,0),""))</f>
        <v/>
      </c>
      <c r="AK151" s="5" t="str">
        <f>IF($A151="","",IFERROR(VLOOKUP($A151,Sheet1!$A:$AN,37,0),""))</f>
        <v/>
      </c>
      <c r="AL151" s="13" t="str">
        <f>IF($A151="","",IFERROR(VLOOKUP($A151,Sheet1!$A:$AN,38,0),""))</f>
        <v/>
      </c>
      <c r="AM151" s="13" t="str">
        <f>IF($A151="","",IFERROR(VLOOKUP($A151,Sheet1!$A:$AN,39,0),""))</f>
        <v/>
      </c>
      <c r="AN151" s="13" t="str">
        <f>IF($A151="","",IFERROR(VLOOKUP($A151,Sheet1!$A:$AN,40,0),""))</f>
        <v/>
      </c>
    </row>
    <row r="152" customHeight="1" spans="1:40">
      <c r="A152" s="5" t="str">
        <f>IF(Sheet1!$A152="","",Sheet1!$A152)</f>
        <v/>
      </c>
      <c r="B152" s="5" t="str">
        <f t="shared" si="10"/>
        <v/>
      </c>
      <c r="C152" s="5" t="str">
        <f>IF($A152="","",IFERROR(VLOOKUP($A152,Sheet1!$A:$AN,3,0),""))</f>
        <v/>
      </c>
      <c r="D152" s="5" t="str">
        <f t="shared" si="11"/>
        <v/>
      </c>
      <c r="I152" s="5" t="str">
        <f t="shared" si="12"/>
        <v/>
      </c>
      <c r="M152" s="5" t="str">
        <f t="shared" si="13"/>
        <v/>
      </c>
      <c r="R152" s="5" t="str">
        <f>IF($A152="","",IFERROR(VLOOKUP($A152,Sheet1!A:AN,18,0),""))</f>
        <v/>
      </c>
      <c r="S152" s="5" t="str">
        <f>IF($A152="","",IFERROR(VLOOKUP($A152,Sheet1!$A:$AN,19,0),""))</f>
        <v/>
      </c>
      <c r="T152" s="5" t="str">
        <f t="shared" si="14"/>
        <v/>
      </c>
      <c r="U152" s="5" t="str">
        <f>IF($A152="","",IFERROR(VLOOKUP($A152,Sheet1!$A:$AN,21,0),""))</f>
        <v/>
      </c>
      <c r="V152" s="5" t="str">
        <f>IF($A152="","",IFERROR(SUBSTITUTE(VLOOKUP($A152,Sheet1!$A:$AN,22,0),"族",""),""))</f>
        <v/>
      </c>
      <c r="W152" s="5" t="str">
        <f>IF($A152="","",IFERROR(VLOOKUP($A152,Sheet1!$A:$AN,23,0),""))</f>
        <v/>
      </c>
      <c r="X152" s="5" t="str">
        <f>IF($A152="","",IFERROR(VLOOKUP($A152,Sheet1!$A:$AN,24,0),""))</f>
        <v/>
      </c>
      <c r="Y152" s="5" t="str">
        <f>IF($A152="","",IFERROR(VLOOKUP($A152,Sheet1!$A:$AN,25,0),""))</f>
        <v/>
      </c>
      <c r="AK152" s="5" t="str">
        <f>IF($A152="","",IFERROR(VLOOKUP($A152,Sheet1!$A:$AN,37,0),""))</f>
        <v/>
      </c>
      <c r="AL152" s="13" t="str">
        <f>IF($A152="","",IFERROR(VLOOKUP($A152,Sheet1!$A:$AN,38,0),""))</f>
        <v/>
      </c>
      <c r="AM152" s="13" t="str">
        <f>IF($A152="","",IFERROR(VLOOKUP($A152,Sheet1!$A:$AN,39,0),""))</f>
        <v/>
      </c>
      <c r="AN152" s="13" t="str">
        <f>IF($A152="","",IFERROR(VLOOKUP($A152,Sheet1!$A:$AN,40,0),""))</f>
        <v/>
      </c>
    </row>
    <row r="153" customHeight="1" spans="1:40">
      <c r="A153" s="5" t="str">
        <f>IF(Sheet1!$A153="","",Sheet1!$A153)</f>
        <v/>
      </c>
      <c r="B153" s="5" t="str">
        <f t="shared" si="10"/>
        <v/>
      </c>
      <c r="C153" s="5" t="str">
        <f>IF($A153="","",IFERROR(VLOOKUP($A153,Sheet1!$A:$AN,3,0),""))</f>
        <v/>
      </c>
      <c r="D153" s="5" t="str">
        <f t="shared" si="11"/>
        <v/>
      </c>
      <c r="I153" s="5" t="str">
        <f t="shared" si="12"/>
        <v/>
      </c>
      <c r="M153" s="5" t="str">
        <f t="shared" si="13"/>
        <v/>
      </c>
      <c r="R153" s="5" t="str">
        <f>IF($A153="","",IFERROR(VLOOKUP($A153,Sheet1!A:AN,18,0),""))</f>
        <v/>
      </c>
      <c r="S153" s="5" t="str">
        <f>IF($A153="","",IFERROR(VLOOKUP($A153,Sheet1!$A:$AN,19,0),""))</f>
        <v/>
      </c>
      <c r="T153" s="5" t="str">
        <f t="shared" si="14"/>
        <v/>
      </c>
      <c r="U153" s="5" t="str">
        <f>IF($A153="","",IFERROR(VLOOKUP($A153,Sheet1!$A:$AN,21,0),""))</f>
        <v/>
      </c>
      <c r="V153" s="5" t="str">
        <f>IF($A153="","",IFERROR(SUBSTITUTE(VLOOKUP($A153,Sheet1!$A:$AN,22,0),"族",""),""))</f>
        <v/>
      </c>
      <c r="W153" s="5" t="str">
        <f>IF($A153="","",IFERROR(VLOOKUP($A153,Sheet1!$A:$AN,23,0),""))</f>
        <v/>
      </c>
      <c r="X153" s="5" t="str">
        <f>IF($A153="","",IFERROR(VLOOKUP($A153,Sheet1!$A:$AN,24,0),""))</f>
        <v/>
      </c>
      <c r="Y153" s="5" t="str">
        <f>IF($A153="","",IFERROR(VLOOKUP($A153,Sheet1!$A:$AN,25,0),""))</f>
        <v/>
      </c>
      <c r="AK153" s="5" t="str">
        <f>IF($A153="","",IFERROR(VLOOKUP($A153,Sheet1!$A:$AN,37,0),""))</f>
        <v/>
      </c>
      <c r="AL153" s="13" t="str">
        <f>IF($A153="","",IFERROR(VLOOKUP($A153,Sheet1!$A:$AN,38,0),""))</f>
        <v/>
      </c>
      <c r="AM153" s="13" t="str">
        <f>IF($A153="","",IFERROR(VLOOKUP($A153,Sheet1!$A:$AN,39,0),""))</f>
        <v/>
      </c>
      <c r="AN153" s="13" t="str">
        <f>IF($A153="","",IFERROR(VLOOKUP($A153,Sheet1!$A:$AN,40,0),""))</f>
        <v/>
      </c>
    </row>
    <row r="154" customHeight="1" spans="1:40">
      <c r="A154" s="5" t="str">
        <f>IF(Sheet1!$A154="","",Sheet1!$A154)</f>
        <v/>
      </c>
      <c r="B154" s="5" t="str">
        <f t="shared" si="10"/>
        <v/>
      </c>
      <c r="C154" s="5" t="str">
        <f>IF($A154="","",IFERROR(VLOOKUP($A154,Sheet1!$A:$AN,3,0),""))</f>
        <v/>
      </c>
      <c r="D154" s="5" t="str">
        <f t="shared" si="11"/>
        <v/>
      </c>
      <c r="I154" s="5" t="str">
        <f t="shared" si="12"/>
        <v/>
      </c>
      <c r="M154" s="5" t="str">
        <f t="shared" si="13"/>
        <v/>
      </c>
      <c r="R154" s="5" t="str">
        <f>IF($A154="","",IFERROR(VLOOKUP($A154,Sheet1!A:AN,18,0),""))</f>
        <v/>
      </c>
      <c r="S154" s="5" t="str">
        <f>IF($A154="","",IFERROR(VLOOKUP($A154,Sheet1!$A:$AN,19,0),""))</f>
        <v/>
      </c>
      <c r="T154" s="5" t="str">
        <f t="shared" si="14"/>
        <v/>
      </c>
      <c r="U154" s="5" t="str">
        <f>IF($A154="","",IFERROR(VLOOKUP($A154,Sheet1!$A:$AN,21,0),""))</f>
        <v/>
      </c>
      <c r="V154" s="5" t="str">
        <f>IF($A154="","",IFERROR(SUBSTITUTE(VLOOKUP($A154,Sheet1!$A:$AN,22,0),"族",""),""))</f>
        <v/>
      </c>
      <c r="W154" s="5" t="str">
        <f>IF($A154="","",IFERROR(VLOOKUP($A154,Sheet1!$A:$AN,23,0),""))</f>
        <v/>
      </c>
      <c r="X154" s="5" t="str">
        <f>IF($A154="","",IFERROR(VLOOKUP($A154,Sheet1!$A:$AN,24,0),""))</f>
        <v/>
      </c>
      <c r="Y154" s="5" t="str">
        <f>IF($A154="","",IFERROR(VLOOKUP($A154,Sheet1!$A:$AN,25,0),""))</f>
        <v/>
      </c>
      <c r="AK154" s="5" t="str">
        <f>IF($A154="","",IFERROR(VLOOKUP($A154,Sheet1!$A:$AN,37,0),""))</f>
        <v/>
      </c>
      <c r="AL154" s="13" t="str">
        <f>IF($A154="","",IFERROR(VLOOKUP($A154,Sheet1!$A:$AN,38,0),""))</f>
        <v/>
      </c>
      <c r="AM154" s="13" t="str">
        <f>IF($A154="","",IFERROR(VLOOKUP($A154,Sheet1!$A:$AN,39,0),""))</f>
        <v/>
      </c>
      <c r="AN154" s="13" t="str">
        <f>IF($A154="","",IFERROR(VLOOKUP($A154,Sheet1!$A:$AN,40,0),""))</f>
        <v/>
      </c>
    </row>
    <row r="155" customHeight="1" spans="1:40">
      <c r="A155" s="5" t="str">
        <f>IF(Sheet1!$A155="","",Sheet1!$A155)</f>
        <v/>
      </c>
      <c r="B155" s="5" t="str">
        <f t="shared" si="10"/>
        <v/>
      </c>
      <c r="C155" s="5" t="str">
        <f>IF($A155="","",IFERROR(VLOOKUP($A155,Sheet1!$A:$AN,3,0),""))</f>
        <v/>
      </c>
      <c r="D155" s="5" t="str">
        <f t="shared" si="11"/>
        <v/>
      </c>
      <c r="I155" s="5" t="str">
        <f t="shared" si="12"/>
        <v/>
      </c>
      <c r="M155" s="5" t="str">
        <f t="shared" si="13"/>
        <v/>
      </c>
      <c r="R155" s="5" t="str">
        <f>IF($A155="","",IFERROR(VLOOKUP($A155,Sheet1!A:AN,18,0),""))</f>
        <v/>
      </c>
      <c r="S155" s="5" t="str">
        <f>IF($A155="","",IFERROR(VLOOKUP($A155,Sheet1!$A:$AN,19,0),""))</f>
        <v/>
      </c>
      <c r="T155" s="5" t="str">
        <f t="shared" si="14"/>
        <v/>
      </c>
      <c r="U155" s="5" t="str">
        <f>IF($A155="","",IFERROR(VLOOKUP($A155,Sheet1!$A:$AN,21,0),""))</f>
        <v/>
      </c>
      <c r="V155" s="5" t="str">
        <f>IF($A155="","",IFERROR(SUBSTITUTE(VLOOKUP($A155,Sheet1!$A:$AN,22,0),"族",""),""))</f>
        <v/>
      </c>
      <c r="W155" s="5" t="str">
        <f>IF($A155="","",IFERROR(VLOOKUP($A155,Sheet1!$A:$AN,23,0),""))</f>
        <v/>
      </c>
      <c r="X155" s="5" t="str">
        <f>IF($A155="","",IFERROR(VLOOKUP($A155,Sheet1!$A:$AN,24,0),""))</f>
        <v/>
      </c>
      <c r="Y155" s="5" t="str">
        <f>IF($A155="","",IFERROR(VLOOKUP($A155,Sheet1!$A:$AN,25,0),""))</f>
        <v/>
      </c>
      <c r="AK155" s="5" t="str">
        <f>IF($A155="","",IFERROR(VLOOKUP($A155,Sheet1!$A:$AN,37,0),""))</f>
        <v/>
      </c>
      <c r="AL155" s="13" t="str">
        <f>IF($A155="","",IFERROR(VLOOKUP($A155,Sheet1!$A:$AN,38,0),""))</f>
        <v/>
      </c>
      <c r="AM155" s="13" t="str">
        <f>IF($A155="","",IFERROR(VLOOKUP($A155,Sheet1!$A:$AN,39,0),""))</f>
        <v/>
      </c>
      <c r="AN155" s="13" t="str">
        <f>IF($A155="","",IFERROR(VLOOKUP($A155,Sheet1!$A:$AN,40,0),""))</f>
        <v/>
      </c>
    </row>
    <row r="156" customHeight="1" spans="1:40">
      <c r="A156" s="5" t="str">
        <f>IF(Sheet1!$A156="","",Sheet1!$A156)</f>
        <v/>
      </c>
      <c r="B156" s="5" t="str">
        <f t="shared" si="10"/>
        <v/>
      </c>
      <c r="C156" s="5" t="str">
        <f>IF($A156="","",IFERROR(VLOOKUP($A156,Sheet1!$A:$AN,3,0),""))</f>
        <v/>
      </c>
      <c r="D156" s="5" t="str">
        <f t="shared" si="11"/>
        <v/>
      </c>
      <c r="I156" s="5" t="str">
        <f t="shared" si="12"/>
        <v/>
      </c>
      <c r="M156" s="5" t="str">
        <f t="shared" si="13"/>
        <v/>
      </c>
      <c r="R156" s="5" t="str">
        <f>IF($A156="","",IFERROR(VLOOKUP($A156,Sheet1!A:AN,18,0),""))</f>
        <v/>
      </c>
      <c r="S156" s="5" t="str">
        <f>IF($A156="","",IFERROR(VLOOKUP($A156,Sheet1!$A:$AN,19,0),""))</f>
        <v/>
      </c>
      <c r="T156" s="5" t="str">
        <f t="shared" si="14"/>
        <v/>
      </c>
      <c r="U156" s="5" t="str">
        <f>IF($A156="","",IFERROR(VLOOKUP($A156,Sheet1!$A:$AN,21,0),""))</f>
        <v/>
      </c>
      <c r="V156" s="5" t="str">
        <f>IF($A156="","",IFERROR(SUBSTITUTE(VLOOKUP($A156,Sheet1!$A:$AN,22,0),"族",""),""))</f>
        <v/>
      </c>
      <c r="W156" s="5" t="str">
        <f>IF($A156="","",IFERROR(VLOOKUP($A156,Sheet1!$A:$AN,23,0),""))</f>
        <v/>
      </c>
      <c r="X156" s="5" t="str">
        <f>IF($A156="","",IFERROR(VLOOKUP($A156,Sheet1!$A:$AN,24,0),""))</f>
        <v/>
      </c>
      <c r="Y156" s="5" t="str">
        <f>IF($A156="","",IFERROR(VLOOKUP($A156,Sheet1!$A:$AN,25,0),""))</f>
        <v/>
      </c>
      <c r="AK156" s="5" t="str">
        <f>IF($A156="","",IFERROR(VLOOKUP($A156,Sheet1!$A:$AN,37,0),""))</f>
        <v/>
      </c>
      <c r="AL156" s="13" t="str">
        <f>IF($A156="","",IFERROR(VLOOKUP($A156,Sheet1!$A:$AN,38,0),""))</f>
        <v/>
      </c>
      <c r="AM156" s="13" t="str">
        <f>IF($A156="","",IFERROR(VLOOKUP($A156,Sheet1!$A:$AN,39,0),""))</f>
        <v/>
      </c>
      <c r="AN156" s="13" t="str">
        <f>IF($A156="","",IFERROR(VLOOKUP($A156,Sheet1!$A:$AN,40,0),""))</f>
        <v/>
      </c>
    </row>
    <row r="157" customHeight="1" spans="1:40">
      <c r="A157" s="5" t="str">
        <f>IF(Sheet1!$A157="","",Sheet1!$A157)</f>
        <v/>
      </c>
      <c r="B157" s="5" t="str">
        <f t="shared" si="10"/>
        <v/>
      </c>
      <c r="C157" s="5" t="str">
        <f>IF($A157="","",IFERROR(VLOOKUP($A157,Sheet1!$A:$AN,3,0),""))</f>
        <v/>
      </c>
      <c r="D157" s="5" t="str">
        <f t="shared" si="11"/>
        <v/>
      </c>
      <c r="I157" s="5" t="str">
        <f t="shared" si="12"/>
        <v/>
      </c>
      <c r="M157" s="5" t="str">
        <f t="shared" si="13"/>
        <v/>
      </c>
      <c r="R157" s="5" t="str">
        <f>IF($A157="","",IFERROR(VLOOKUP($A157,Sheet1!A:AN,18,0),""))</f>
        <v/>
      </c>
      <c r="S157" s="5" t="str">
        <f>IF($A157="","",IFERROR(VLOOKUP($A157,Sheet1!$A:$AN,19,0),""))</f>
        <v/>
      </c>
      <c r="T157" s="5" t="str">
        <f t="shared" si="14"/>
        <v/>
      </c>
      <c r="U157" s="5" t="str">
        <f>IF($A157="","",IFERROR(VLOOKUP($A157,Sheet1!$A:$AN,21,0),""))</f>
        <v/>
      </c>
      <c r="V157" s="5" t="str">
        <f>IF($A157="","",IFERROR(SUBSTITUTE(VLOOKUP($A157,Sheet1!$A:$AN,22,0),"族",""),""))</f>
        <v/>
      </c>
      <c r="W157" s="5" t="str">
        <f>IF($A157="","",IFERROR(VLOOKUP($A157,Sheet1!$A:$AN,23,0),""))</f>
        <v/>
      </c>
      <c r="X157" s="5" t="str">
        <f>IF($A157="","",IFERROR(VLOOKUP($A157,Sheet1!$A:$AN,24,0),""))</f>
        <v/>
      </c>
      <c r="Y157" s="5" t="str">
        <f>IF($A157="","",IFERROR(VLOOKUP($A157,Sheet1!$A:$AN,25,0),""))</f>
        <v/>
      </c>
      <c r="AK157" s="5" t="str">
        <f>IF($A157="","",IFERROR(VLOOKUP($A157,Sheet1!$A:$AN,37,0),""))</f>
        <v/>
      </c>
      <c r="AL157" s="13" t="str">
        <f>IF($A157="","",IFERROR(VLOOKUP($A157,Sheet1!$A:$AN,38,0),""))</f>
        <v/>
      </c>
      <c r="AM157" s="13" t="str">
        <f>IF($A157="","",IFERROR(VLOOKUP($A157,Sheet1!$A:$AN,39,0),""))</f>
        <v/>
      </c>
      <c r="AN157" s="13" t="str">
        <f>IF($A157="","",IFERROR(VLOOKUP($A157,Sheet1!$A:$AN,40,0),""))</f>
        <v/>
      </c>
    </row>
    <row r="158" customHeight="1" spans="1:40">
      <c r="A158" s="5" t="str">
        <f>IF(Sheet1!$A158="","",Sheet1!$A158)</f>
        <v/>
      </c>
      <c r="B158" s="5" t="str">
        <f t="shared" si="10"/>
        <v/>
      </c>
      <c r="C158" s="5" t="str">
        <f>IF($A158="","",IFERROR(VLOOKUP($A158,Sheet1!$A:$AN,3,0),""))</f>
        <v/>
      </c>
      <c r="D158" s="5" t="str">
        <f t="shared" si="11"/>
        <v/>
      </c>
      <c r="I158" s="5" t="str">
        <f t="shared" si="12"/>
        <v/>
      </c>
      <c r="M158" s="5" t="str">
        <f t="shared" si="13"/>
        <v/>
      </c>
      <c r="R158" s="5" t="str">
        <f>IF($A158="","",IFERROR(VLOOKUP($A158,Sheet1!A:AN,18,0),""))</f>
        <v/>
      </c>
      <c r="S158" s="5" t="str">
        <f>IF($A158="","",IFERROR(VLOOKUP($A158,Sheet1!$A:$AN,19,0),""))</f>
        <v/>
      </c>
      <c r="T158" s="5" t="str">
        <f t="shared" si="14"/>
        <v/>
      </c>
      <c r="U158" s="5" t="str">
        <f>IF($A158="","",IFERROR(VLOOKUP($A158,Sheet1!$A:$AN,21,0),""))</f>
        <v/>
      </c>
      <c r="V158" s="5" t="str">
        <f>IF($A158="","",IFERROR(SUBSTITUTE(VLOOKUP($A158,Sheet1!$A:$AN,22,0),"族",""),""))</f>
        <v/>
      </c>
      <c r="W158" s="5" t="str">
        <f>IF($A158="","",IFERROR(VLOOKUP($A158,Sheet1!$A:$AN,23,0),""))</f>
        <v/>
      </c>
      <c r="X158" s="5" t="str">
        <f>IF($A158="","",IFERROR(VLOOKUP($A158,Sheet1!$A:$AN,24,0),""))</f>
        <v/>
      </c>
      <c r="Y158" s="5" t="str">
        <f>IF($A158="","",IFERROR(VLOOKUP($A158,Sheet1!$A:$AN,25,0),""))</f>
        <v/>
      </c>
      <c r="AK158" s="5" t="str">
        <f>IF($A158="","",IFERROR(VLOOKUP($A158,Sheet1!$A:$AN,37,0),""))</f>
        <v/>
      </c>
      <c r="AL158" s="13" t="str">
        <f>IF($A158="","",IFERROR(VLOOKUP($A158,Sheet1!$A:$AN,38,0),""))</f>
        <v/>
      </c>
      <c r="AM158" s="13" t="str">
        <f>IF($A158="","",IFERROR(VLOOKUP($A158,Sheet1!$A:$AN,39,0),""))</f>
        <v/>
      </c>
      <c r="AN158" s="13" t="str">
        <f>IF($A158="","",IFERROR(VLOOKUP($A158,Sheet1!$A:$AN,40,0),""))</f>
        <v/>
      </c>
    </row>
    <row r="159" customHeight="1" spans="1:40">
      <c r="A159" s="5" t="str">
        <f>IF(Sheet1!$A159="","",Sheet1!$A159)</f>
        <v/>
      </c>
      <c r="B159" s="5" t="str">
        <f t="shared" si="10"/>
        <v/>
      </c>
      <c r="C159" s="5" t="str">
        <f>IF($A159="","",IFERROR(VLOOKUP($A159,Sheet1!$A:$AN,3,0),""))</f>
        <v/>
      </c>
      <c r="D159" s="5" t="str">
        <f t="shared" si="11"/>
        <v/>
      </c>
      <c r="I159" s="5" t="str">
        <f t="shared" si="12"/>
        <v/>
      </c>
      <c r="M159" s="5" t="str">
        <f t="shared" si="13"/>
        <v/>
      </c>
      <c r="R159" s="5" t="str">
        <f>IF($A159="","",IFERROR(VLOOKUP($A159,Sheet1!A:AN,18,0),""))</f>
        <v/>
      </c>
      <c r="S159" s="5" t="str">
        <f>IF($A159="","",IFERROR(VLOOKUP($A159,Sheet1!$A:$AN,19,0),""))</f>
        <v/>
      </c>
      <c r="T159" s="5" t="str">
        <f t="shared" si="14"/>
        <v/>
      </c>
      <c r="U159" s="5" t="str">
        <f>IF($A159="","",IFERROR(VLOOKUP($A159,Sheet1!$A:$AN,21,0),""))</f>
        <v/>
      </c>
      <c r="V159" s="5" t="str">
        <f>IF($A159="","",IFERROR(SUBSTITUTE(VLOOKUP($A159,Sheet1!$A:$AN,22,0),"族",""),""))</f>
        <v/>
      </c>
      <c r="W159" s="5" t="str">
        <f>IF($A159="","",IFERROR(VLOOKUP($A159,Sheet1!$A:$AN,23,0),""))</f>
        <v/>
      </c>
      <c r="X159" s="5" t="str">
        <f>IF($A159="","",IFERROR(VLOOKUP($A159,Sheet1!$A:$AN,24,0),""))</f>
        <v/>
      </c>
      <c r="Y159" s="5" t="str">
        <f>IF($A159="","",IFERROR(VLOOKUP($A159,Sheet1!$A:$AN,25,0),""))</f>
        <v/>
      </c>
      <c r="AK159" s="5" t="str">
        <f>IF($A159="","",IFERROR(VLOOKUP($A159,Sheet1!$A:$AN,37,0),""))</f>
        <v/>
      </c>
      <c r="AL159" s="13" t="str">
        <f>IF($A159="","",IFERROR(VLOOKUP($A159,Sheet1!$A:$AN,38,0),""))</f>
        <v/>
      </c>
      <c r="AM159" s="13" t="str">
        <f>IF($A159="","",IFERROR(VLOOKUP($A159,Sheet1!$A:$AN,39,0),""))</f>
        <v/>
      </c>
      <c r="AN159" s="13" t="str">
        <f>IF($A159="","",IFERROR(VLOOKUP($A159,Sheet1!$A:$AN,40,0),""))</f>
        <v/>
      </c>
    </row>
    <row r="160" customHeight="1" spans="1:40">
      <c r="A160" s="5" t="str">
        <f>IF(Sheet1!$A160="","",Sheet1!$A160)</f>
        <v/>
      </c>
      <c r="B160" s="5" t="str">
        <f t="shared" si="10"/>
        <v/>
      </c>
      <c r="C160" s="5" t="str">
        <f>IF($A160="","",IFERROR(VLOOKUP($A160,Sheet1!$A:$AN,3,0),""))</f>
        <v/>
      </c>
      <c r="D160" s="5" t="str">
        <f t="shared" si="11"/>
        <v/>
      </c>
      <c r="I160" s="5" t="str">
        <f t="shared" si="12"/>
        <v/>
      </c>
      <c r="M160" s="5" t="str">
        <f t="shared" si="13"/>
        <v/>
      </c>
      <c r="R160" s="5" t="str">
        <f>IF($A160="","",IFERROR(VLOOKUP($A160,Sheet1!A:AN,18,0),""))</f>
        <v/>
      </c>
      <c r="S160" s="5" t="str">
        <f>IF($A160="","",IFERROR(VLOOKUP($A160,Sheet1!$A:$AN,19,0),""))</f>
        <v/>
      </c>
      <c r="T160" s="5" t="str">
        <f t="shared" si="14"/>
        <v/>
      </c>
      <c r="U160" s="5" t="str">
        <f>IF($A160="","",IFERROR(VLOOKUP($A160,Sheet1!$A:$AN,21,0),""))</f>
        <v/>
      </c>
      <c r="V160" s="5" t="str">
        <f>IF($A160="","",IFERROR(SUBSTITUTE(VLOOKUP($A160,Sheet1!$A:$AN,22,0),"族",""),""))</f>
        <v/>
      </c>
      <c r="W160" s="5" t="str">
        <f>IF($A160="","",IFERROR(VLOOKUP($A160,Sheet1!$A:$AN,23,0),""))</f>
        <v/>
      </c>
      <c r="X160" s="5" t="str">
        <f>IF($A160="","",IFERROR(VLOOKUP($A160,Sheet1!$A:$AN,24,0),""))</f>
        <v/>
      </c>
      <c r="Y160" s="5" t="str">
        <f>IF($A160="","",IFERROR(VLOOKUP($A160,Sheet1!$A:$AN,25,0),""))</f>
        <v/>
      </c>
      <c r="AK160" s="5" t="str">
        <f>IF($A160="","",IFERROR(VLOOKUP($A160,Sheet1!$A:$AN,37,0),""))</f>
        <v/>
      </c>
      <c r="AL160" s="13" t="str">
        <f>IF($A160="","",IFERROR(VLOOKUP($A160,Sheet1!$A:$AN,38,0),""))</f>
        <v/>
      </c>
      <c r="AM160" s="13" t="str">
        <f>IF($A160="","",IFERROR(VLOOKUP($A160,Sheet1!$A:$AN,39,0),""))</f>
        <v/>
      </c>
      <c r="AN160" s="13" t="str">
        <f>IF($A160="","",IFERROR(VLOOKUP($A160,Sheet1!$A:$AN,40,0),""))</f>
        <v/>
      </c>
    </row>
    <row r="161" customHeight="1" spans="1:40">
      <c r="A161" s="5" t="str">
        <f>IF(Sheet1!$A161="","",Sheet1!$A161)</f>
        <v/>
      </c>
      <c r="B161" s="5" t="str">
        <f t="shared" si="10"/>
        <v/>
      </c>
      <c r="C161" s="5" t="str">
        <f>IF($A161="","",IFERROR(VLOOKUP($A161,Sheet1!$A:$AN,3,0),""))</f>
        <v/>
      </c>
      <c r="D161" s="5" t="str">
        <f t="shared" si="11"/>
        <v/>
      </c>
      <c r="I161" s="5" t="str">
        <f t="shared" si="12"/>
        <v/>
      </c>
      <c r="M161" s="5" t="str">
        <f t="shared" si="13"/>
        <v/>
      </c>
      <c r="R161" s="5" t="str">
        <f>IF($A161="","",IFERROR(VLOOKUP($A161,Sheet1!A:AN,18,0),""))</f>
        <v/>
      </c>
      <c r="S161" s="5" t="str">
        <f>IF($A161="","",IFERROR(VLOOKUP($A161,Sheet1!$A:$AN,19,0),""))</f>
        <v/>
      </c>
      <c r="T161" s="5" t="str">
        <f t="shared" si="14"/>
        <v/>
      </c>
      <c r="U161" s="5" t="str">
        <f>IF($A161="","",IFERROR(VLOOKUP($A161,Sheet1!$A:$AN,21,0),""))</f>
        <v/>
      </c>
      <c r="V161" s="5" t="str">
        <f>IF($A161="","",IFERROR(SUBSTITUTE(VLOOKUP($A161,Sheet1!$A:$AN,22,0),"族",""),""))</f>
        <v/>
      </c>
      <c r="W161" s="5" t="str">
        <f>IF($A161="","",IFERROR(VLOOKUP($A161,Sheet1!$A:$AN,23,0),""))</f>
        <v/>
      </c>
      <c r="X161" s="5" t="str">
        <f>IF($A161="","",IFERROR(VLOOKUP($A161,Sheet1!$A:$AN,24,0),""))</f>
        <v/>
      </c>
      <c r="Y161" s="5" t="str">
        <f>IF($A161="","",IFERROR(VLOOKUP($A161,Sheet1!$A:$AN,25,0),""))</f>
        <v/>
      </c>
      <c r="AK161" s="5" t="str">
        <f>IF($A161="","",IFERROR(VLOOKUP($A161,Sheet1!$A:$AN,37,0),""))</f>
        <v/>
      </c>
      <c r="AL161" s="13" t="str">
        <f>IF($A161="","",IFERROR(VLOOKUP($A161,Sheet1!$A:$AN,38,0),""))</f>
        <v/>
      </c>
      <c r="AM161" s="13" t="str">
        <f>IF($A161="","",IFERROR(VLOOKUP($A161,Sheet1!$A:$AN,39,0),""))</f>
        <v/>
      </c>
      <c r="AN161" s="13" t="str">
        <f>IF($A161="","",IFERROR(VLOOKUP($A161,Sheet1!$A:$AN,40,0),""))</f>
        <v/>
      </c>
    </row>
    <row r="162" customHeight="1" spans="1:40">
      <c r="A162" s="5" t="str">
        <f>IF(Sheet1!$A162="","",Sheet1!$A162)</f>
        <v/>
      </c>
      <c r="B162" s="5" t="str">
        <f t="shared" si="10"/>
        <v/>
      </c>
      <c r="C162" s="5" t="str">
        <f>IF($A162="","",IFERROR(VLOOKUP($A162,Sheet1!$A:$AN,3,0),""))</f>
        <v/>
      </c>
      <c r="D162" s="5" t="str">
        <f t="shared" si="11"/>
        <v/>
      </c>
      <c r="I162" s="5" t="str">
        <f t="shared" si="12"/>
        <v/>
      </c>
      <c r="M162" s="5" t="str">
        <f t="shared" si="13"/>
        <v/>
      </c>
      <c r="R162" s="5" t="str">
        <f>IF($A162="","",IFERROR(VLOOKUP($A162,Sheet1!A:AN,18,0),""))</f>
        <v/>
      </c>
      <c r="S162" s="5" t="str">
        <f>IF($A162="","",IFERROR(VLOOKUP($A162,Sheet1!$A:$AN,19,0),""))</f>
        <v/>
      </c>
      <c r="T162" s="5" t="str">
        <f t="shared" si="14"/>
        <v/>
      </c>
      <c r="U162" s="5" t="str">
        <f>IF($A162="","",IFERROR(VLOOKUP($A162,Sheet1!$A:$AN,21,0),""))</f>
        <v/>
      </c>
      <c r="V162" s="5" t="str">
        <f>IF($A162="","",IFERROR(SUBSTITUTE(VLOOKUP($A162,Sheet1!$A:$AN,22,0),"族",""),""))</f>
        <v/>
      </c>
      <c r="W162" s="5" t="str">
        <f>IF($A162="","",IFERROR(VLOOKUP($A162,Sheet1!$A:$AN,23,0),""))</f>
        <v/>
      </c>
      <c r="X162" s="5" t="str">
        <f>IF($A162="","",IFERROR(VLOOKUP($A162,Sheet1!$A:$AN,24,0),""))</f>
        <v/>
      </c>
      <c r="Y162" s="5" t="str">
        <f>IF($A162="","",IFERROR(VLOOKUP($A162,Sheet1!$A:$AN,25,0),""))</f>
        <v/>
      </c>
      <c r="AK162" s="5" t="str">
        <f>IF($A162="","",IFERROR(VLOOKUP($A162,Sheet1!$A:$AN,37,0),""))</f>
        <v/>
      </c>
      <c r="AL162" s="13" t="str">
        <f>IF($A162="","",IFERROR(VLOOKUP($A162,Sheet1!$A:$AN,38,0),""))</f>
        <v/>
      </c>
      <c r="AM162" s="13" t="str">
        <f>IF($A162="","",IFERROR(VLOOKUP($A162,Sheet1!$A:$AN,39,0),""))</f>
        <v/>
      </c>
      <c r="AN162" s="13" t="str">
        <f>IF($A162="","",IFERROR(VLOOKUP($A162,Sheet1!$A:$AN,40,0),""))</f>
        <v/>
      </c>
    </row>
    <row r="163" customHeight="1" spans="1:40">
      <c r="A163" s="5" t="str">
        <f>IF(Sheet1!$A163="","",Sheet1!$A163)</f>
        <v/>
      </c>
      <c r="B163" s="5" t="str">
        <f t="shared" si="10"/>
        <v/>
      </c>
      <c r="C163" s="5" t="str">
        <f>IF($A163="","",IFERROR(VLOOKUP($A163,Sheet1!$A:$AN,3,0),""))</f>
        <v/>
      </c>
      <c r="D163" s="5" t="str">
        <f t="shared" si="11"/>
        <v/>
      </c>
      <c r="I163" s="5" t="str">
        <f t="shared" si="12"/>
        <v/>
      </c>
      <c r="M163" s="5" t="str">
        <f t="shared" si="13"/>
        <v/>
      </c>
      <c r="R163" s="5" t="str">
        <f>IF($A163="","",IFERROR(VLOOKUP($A163,Sheet1!A:AN,18,0),""))</f>
        <v/>
      </c>
      <c r="S163" s="5" t="str">
        <f>IF($A163="","",IFERROR(VLOOKUP($A163,Sheet1!$A:$AN,19,0),""))</f>
        <v/>
      </c>
      <c r="T163" s="5" t="str">
        <f t="shared" si="14"/>
        <v/>
      </c>
      <c r="U163" s="5" t="str">
        <f>IF($A163="","",IFERROR(VLOOKUP($A163,Sheet1!$A:$AN,21,0),""))</f>
        <v/>
      </c>
      <c r="V163" s="5" t="str">
        <f>IF($A163="","",IFERROR(SUBSTITUTE(VLOOKUP($A163,Sheet1!$A:$AN,22,0),"族",""),""))</f>
        <v/>
      </c>
      <c r="W163" s="5" t="str">
        <f>IF($A163="","",IFERROR(VLOOKUP($A163,Sheet1!$A:$AN,23,0),""))</f>
        <v/>
      </c>
      <c r="X163" s="5" t="str">
        <f>IF($A163="","",IFERROR(VLOOKUP($A163,Sheet1!$A:$AN,24,0),""))</f>
        <v/>
      </c>
      <c r="Y163" s="5" t="str">
        <f>IF($A163="","",IFERROR(VLOOKUP($A163,Sheet1!$A:$AN,25,0),""))</f>
        <v/>
      </c>
      <c r="AK163" s="5" t="str">
        <f>IF($A163="","",IFERROR(VLOOKUP($A163,Sheet1!$A:$AN,37,0),""))</f>
        <v/>
      </c>
      <c r="AL163" s="13" t="str">
        <f>IF($A163="","",IFERROR(VLOOKUP($A163,Sheet1!$A:$AN,38,0),""))</f>
        <v/>
      </c>
      <c r="AM163" s="13" t="str">
        <f>IF($A163="","",IFERROR(VLOOKUP($A163,Sheet1!$A:$AN,39,0),""))</f>
        <v/>
      </c>
      <c r="AN163" s="13" t="str">
        <f>IF($A163="","",IFERROR(VLOOKUP($A163,Sheet1!$A:$AN,40,0),""))</f>
        <v/>
      </c>
    </row>
    <row r="164" customHeight="1" spans="1:40">
      <c r="A164" s="5" t="str">
        <f>IF(Sheet1!$A164="","",Sheet1!$A164)</f>
        <v/>
      </c>
      <c r="B164" s="5" t="str">
        <f t="shared" si="10"/>
        <v/>
      </c>
      <c r="C164" s="5" t="str">
        <f>IF($A164="","",IFERROR(VLOOKUP($A164,Sheet1!$A:$AN,3,0),""))</f>
        <v/>
      </c>
      <c r="D164" s="5" t="str">
        <f t="shared" si="11"/>
        <v/>
      </c>
      <c r="I164" s="5" t="str">
        <f t="shared" si="12"/>
        <v/>
      </c>
      <c r="M164" s="5" t="str">
        <f t="shared" si="13"/>
        <v/>
      </c>
      <c r="R164" s="5" t="str">
        <f>IF($A164="","",IFERROR(VLOOKUP($A164,Sheet1!A:AN,18,0),""))</f>
        <v/>
      </c>
      <c r="S164" s="5" t="str">
        <f>IF($A164="","",IFERROR(VLOOKUP($A164,Sheet1!$A:$AN,19,0),""))</f>
        <v/>
      </c>
      <c r="T164" s="5" t="str">
        <f t="shared" si="14"/>
        <v/>
      </c>
      <c r="U164" s="5" t="str">
        <f>IF($A164="","",IFERROR(VLOOKUP($A164,Sheet1!$A:$AN,21,0),""))</f>
        <v/>
      </c>
      <c r="V164" s="5" t="str">
        <f>IF($A164="","",IFERROR(SUBSTITUTE(VLOOKUP($A164,Sheet1!$A:$AN,22,0),"族",""),""))</f>
        <v/>
      </c>
      <c r="W164" s="5" t="str">
        <f>IF($A164="","",IFERROR(VLOOKUP($A164,Sheet1!$A:$AN,23,0),""))</f>
        <v/>
      </c>
      <c r="X164" s="5" t="str">
        <f>IF($A164="","",IFERROR(VLOOKUP($A164,Sheet1!$A:$AN,24,0),""))</f>
        <v/>
      </c>
      <c r="Y164" s="5" t="str">
        <f>IF($A164="","",IFERROR(VLOOKUP($A164,Sheet1!$A:$AN,25,0),""))</f>
        <v/>
      </c>
      <c r="AK164" s="5" t="str">
        <f>IF($A164="","",IFERROR(VLOOKUP($A164,Sheet1!$A:$AN,37,0),""))</f>
        <v/>
      </c>
      <c r="AL164" s="13" t="str">
        <f>IF($A164="","",IFERROR(VLOOKUP($A164,Sheet1!$A:$AN,38,0),""))</f>
        <v/>
      </c>
      <c r="AM164" s="13" t="str">
        <f>IF($A164="","",IFERROR(VLOOKUP($A164,Sheet1!$A:$AN,39,0),""))</f>
        <v/>
      </c>
      <c r="AN164" s="13" t="str">
        <f>IF($A164="","",IFERROR(VLOOKUP($A164,Sheet1!$A:$AN,40,0),""))</f>
        <v/>
      </c>
    </row>
    <row r="165" customHeight="1" spans="1:40">
      <c r="A165" s="5" t="str">
        <f>IF(Sheet1!$A165="","",Sheet1!$A165)</f>
        <v/>
      </c>
      <c r="B165" s="5" t="str">
        <f t="shared" si="10"/>
        <v/>
      </c>
      <c r="C165" s="5" t="str">
        <f>IF($A165="","",IFERROR(VLOOKUP($A165,Sheet1!$A:$AN,3,0),""))</f>
        <v/>
      </c>
      <c r="D165" s="5" t="str">
        <f t="shared" si="11"/>
        <v/>
      </c>
      <c r="I165" s="5" t="str">
        <f t="shared" si="12"/>
        <v/>
      </c>
      <c r="M165" s="5" t="str">
        <f t="shared" si="13"/>
        <v/>
      </c>
      <c r="R165" s="5" t="str">
        <f>IF($A165="","",IFERROR(VLOOKUP($A165,Sheet1!A:AN,18,0),""))</f>
        <v/>
      </c>
      <c r="S165" s="5" t="str">
        <f>IF($A165="","",IFERROR(VLOOKUP($A165,Sheet1!$A:$AN,19,0),""))</f>
        <v/>
      </c>
      <c r="T165" s="5" t="str">
        <f t="shared" si="14"/>
        <v/>
      </c>
      <c r="U165" s="5" t="str">
        <f>IF($A165="","",IFERROR(VLOOKUP($A165,Sheet1!$A:$AN,21,0),""))</f>
        <v/>
      </c>
      <c r="V165" s="5" t="str">
        <f>IF($A165="","",IFERROR(SUBSTITUTE(VLOOKUP($A165,Sheet1!$A:$AN,22,0),"族",""),""))</f>
        <v/>
      </c>
      <c r="W165" s="5" t="str">
        <f>IF($A165="","",IFERROR(VLOOKUP($A165,Sheet1!$A:$AN,23,0),""))</f>
        <v/>
      </c>
      <c r="X165" s="5" t="str">
        <f>IF($A165="","",IFERROR(VLOOKUP($A165,Sheet1!$A:$AN,24,0),""))</f>
        <v/>
      </c>
      <c r="Y165" s="5" t="str">
        <f>IF($A165="","",IFERROR(VLOOKUP($A165,Sheet1!$A:$AN,25,0),""))</f>
        <v/>
      </c>
      <c r="AK165" s="5" t="str">
        <f>IF($A165="","",IFERROR(VLOOKUP($A165,Sheet1!$A:$AN,37,0),""))</f>
        <v/>
      </c>
      <c r="AL165" s="13" t="str">
        <f>IF($A165="","",IFERROR(VLOOKUP($A165,Sheet1!$A:$AN,38,0),""))</f>
        <v/>
      </c>
      <c r="AM165" s="13" t="str">
        <f>IF($A165="","",IFERROR(VLOOKUP($A165,Sheet1!$A:$AN,39,0),""))</f>
        <v/>
      </c>
      <c r="AN165" s="13" t="str">
        <f>IF($A165="","",IFERROR(VLOOKUP($A165,Sheet1!$A:$AN,40,0),""))</f>
        <v/>
      </c>
    </row>
    <row r="166" customHeight="1" spans="1:40">
      <c r="A166" s="5" t="str">
        <f>IF(Sheet1!$A166="","",Sheet1!$A166)</f>
        <v/>
      </c>
      <c r="B166" s="5" t="str">
        <f t="shared" si="10"/>
        <v/>
      </c>
      <c r="C166" s="5" t="str">
        <f>IF($A166="","",IFERROR(VLOOKUP($A166,Sheet1!$A:$AN,3,0),""))</f>
        <v/>
      </c>
      <c r="D166" s="5" t="str">
        <f t="shared" si="11"/>
        <v/>
      </c>
      <c r="I166" s="5" t="str">
        <f t="shared" si="12"/>
        <v/>
      </c>
      <c r="M166" s="5" t="str">
        <f t="shared" si="13"/>
        <v/>
      </c>
      <c r="R166" s="5" t="str">
        <f>IF($A166="","",IFERROR(VLOOKUP($A166,Sheet1!A:AN,18,0),""))</f>
        <v/>
      </c>
      <c r="S166" s="5" t="str">
        <f>IF($A166="","",IFERROR(VLOOKUP($A166,Sheet1!$A:$AN,19,0),""))</f>
        <v/>
      </c>
      <c r="T166" s="5" t="str">
        <f t="shared" si="14"/>
        <v/>
      </c>
      <c r="U166" s="5" t="str">
        <f>IF($A166="","",IFERROR(VLOOKUP($A166,Sheet1!$A:$AN,21,0),""))</f>
        <v/>
      </c>
      <c r="V166" s="5" t="str">
        <f>IF($A166="","",IFERROR(SUBSTITUTE(VLOOKUP($A166,Sheet1!$A:$AN,22,0),"族",""),""))</f>
        <v/>
      </c>
      <c r="W166" s="5" t="str">
        <f>IF($A166="","",IFERROR(VLOOKUP($A166,Sheet1!$A:$AN,23,0),""))</f>
        <v/>
      </c>
      <c r="X166" s="5" t="str">
        <f>IF($A166="","",IFERROR(VLOOKUP($A166,Sheet1!$A:$AN,24,0),""))</f>
        <v/>
      </c>
      <c r="Y166" s="5" t="str">
        <f>IF($A166="","",IFERROR(VLOOKUP($A166,Sheet1!$A:$AN,25,0),""))</f>
        <v/>
      </c>
      <c r="AK166" s="5" t="str">
        <f>IF($A166="","",IFERROR(VLOOKUP($A166,Sheet1!$A:$AN,37,0),""))</f>
        <v/>
      </c>
      <c r="AL166" s="13" t="str">
        <f>IF($A166="","",IFERROR(VLOOKUP($A166,Sheet1!$A:$AN,38,0),""))</f>
        <v/>
      </c>
      <c r="AM166" s="13" t="str">
        <f>IF($A166="","",IFERROR(VLOOKUP($A166,Sheet1!$A:$AN,39,0),""))</f>
        <v/>
      </c>
      <c r="AN166" s="13" t="str">
        <f>IF($A166="","",IFERROR(VLOOKUP($A166,Sheet1!$A:$AN,40,0),""))</f>
        <v/>
      </c>
    </row>
    <row r="167" customHeight="1" spans="1:40">
      <c r="A167" s="5" t="str">
        <f>IF(Sheet1!$A167="","",Sheet1!$A167)</f>
        <v/>
      </c>
      <c r="B167" s="5" t="str">
        <f t="shared" si="10"/>
        <v/>
      </c>
      <c r="C167" s="5" t="str">
        <f>IF($A167="","",IFERROR(VLOOKUP($A167,Sheet1!$A:$AN,3,0),""))</f>
        <v/>
      </c>
      <c r="D167" s="5" t="str">
        <f t="shared" si="11"/>
        <v/>
      </c>
      <c r="I167" s="5" t="str">
        <f t="shared" si="12"/>
        <v/>
      </c>
      <c r="M167" s="5" t="str">
        <f t="shared" si="13"/>
        <v/>
      </c>
      <c r="R167" s="5" t="str">
        <f>IF($A167="","",IFERROR(VLOOKUP($A167,Sheet1!A:AN,18,0),""))</f>
        <v/>
      </c>
      <c r="S167" s="5" t="str">
        <f>IF($A167="","",IFERROR(VLOOKUP($A167,Sheet1!$A:$AN,19,0),""))</f>
        <v/>
      </c>
      <c r="T167" s="5" t="str">
        <f t="shared" si="14"/>
        <v/>
      </c>
      <c r="U167" s="5" t="str">
        <f>IF($A167="","",IFERROR(VLOOKUP($A167,Sheet1!$A:$AN,21,0),""))</f>
        <v/>
      </c>
      <c r="V167" s="5" t="str">
        <f>IF($A167="","",IFERROR(SUBSTITUTE(VLOOKUP($A167,Sheet1!$A:$AN,22,0),"族",""),""))</f>
        <v/>
      </c>
      <c r="W167" s="5" t="str">
        <f>IF($A167="","",IFERROR(VLOOKUP($A167,Sheet1!$A:$AN,23,0),""))</f>
        <v/>
      </c>
      <c r="X167" s="5" t="str">
        <f>IF($A167="","",IFERROR(VLOOKUP($A167,Sheet1!$A:$AN,24,0),""))</f>
        <v/>
      </c>
      <c r="Y167" s="5" t="str">
        <f>IF($A167="","",IFERROR(VLOOKUP($A167,Sheet1!$A:$AN,25,0),""))</f>
        <v/>
      </c>
      <c r="AK167" s="5" t="str">
        <f>IF($A167="","",IFERROR(VLOOKUP($A167,Sheet1!$A:$AN,37,0),""))</f>
        <v/>
      </c>
      <c r="AL167" s="13" t="str">
        <f>IF($A167="","",IFERROR(VLOOKUP($A167,Sheet1!$A:$AN,38,0),""))</f>
        <v/>
      </c>
      <c r="AM167" s="13" t="str">
        <f>IF($A167="","",IFERROR(VLOOKUP($A167,Sheet1!$A:$AN,39,0),""))</f>
        <v/>
      </c>
      <c r="AN167" s="13" t="str">
        <f>IF($A167="","",IFERROR(VLOOKUP($A167,Sheet1!$A:$AN,40,0),""))</f>
        <v/>
      </c>
    </row>
    <row r="168" customHeight="1" spans="1:40">
      <c r="A168" s="5" t="str">
        <f>IF(Sheet1!$A168="","",Sheet1!$A168)</f>
        <v/>
      </c>
      <c r="B168" s="5" t="str">
        <f t="shared" si="10"/>
        <v/>
      </c>
      <c r="C168" s="5" t="str">
        <f>IF($A168="","",IFERROR(VLOOKUP($A168,Sheet1!$A:$AN,3,0),""))</f>
        <v/>
      </c>
      <c r="D168" s="5" t="str">
        <f t="shared" si="11"/>
        <v/>
      </c>
      <c r="I168" s="5" t="str">
        <f t="shared" si="12"/>
        <v/>
      </c>
      <c r="M168" s="5" t="str">
        <f t="shared" si="13"/>
        <v/>
      </c>
      <c r="R168" s="5" t="str">
        <f>IF($A168="","",IFERROR(VLOOKUP($A168,Sheet1!A:AN,18,0),""))</f>
        <v/>
      </c>
      <c r="S168" s="5" t="str">
        <f>IF($A168="","",IFERROR(VLOOKUP($A168,Sheet1!$A:$AN,19,0),""))</f>
        <v/>
      </c>
      <c r="T168" s="5" t="str">
        <f t="shared" si="14"/>
        <v/>
      </c>
      <c r="U168" s="5" t="str">
        <f>IF($A168="","",IFERROR(VLOOKUP($A168,Sheet1!$A:$AN,21,0),""))</f>
        <v/>
      </c>
      <c r="V168" s="5" t="str">
        <f>IF($A168="","",IFERROR(SUBSTITUTE(VLOOKUP($A168,Sheet1!$A:$AN,22,0),"族",""),""))</f>
        <v/>
      </c>
      <c r="W168" s="5" t="str">
        <f>IF($A168="","",IFERROR(VLOOKUP($A168,Sheet1!$A:$AN,23,0),""))</f>
        <v/>
      </c>
      <c r="X168" s="5" t="str">
        <f>IF($A168="","",IFERROR(VLOOKUP($A168,Sheet1!$A:$AN,24,0),""))</f>
        <v/>
      </c>
      <c r="Y168" s="5" t="str">
        <f>IF($A168="","",IFERROR(VLOOKUP($A168,Sheet1!$A:$AN,25,0),""))</f>
        <v/>
      </c>
      <c r="AK168" s="5" t="str">
        <f>IF($A168="","",IFERROR(VLOOKUP($A168,Sheet1!$A:$AN,37,0),""))</f>
        <v/>
      </c>
      <c r="AL168" s="13" t="str">
        <f>IF($A168="","",IFERROR(VLOOKUP($A168,Sheet1!$A:$AN,38,0),""))</f>
        <v/>
      </c>
      <c r="AM168" s="13" t="str">
        <f>IF($A168="","",IFERROR(VLOOKUP($A168,Sheet1!$A:$AN,39,0),""))</f>
        <v/>
      </c>
      <c r="AN168" s="13" t="str">
        <f>IF($A168="","",IFERROR(VLOOKUP($A168,Sheet1!$A:$AN,40,0),""))</f>
        <v/>
      </c>
    </row>
    <row r="169" customHeight="1" spans="1:40">
      <c r="A169" s="5" t="str">
        <f>IF(Sheet1!$A169="","",Sheet1!$A169)</f>
        <v/>
      </c>
      <c r="B169" s="5" t="str">
        <f t="shared" si="10"/>
        <v/>
      </c>
      <c r="C169" s="5" t="str">
        <f>IF($A169="","",IFERROR(VLOOKUP($A169,Sheet1!$A:$AN,3,0),""))</f>
        <v/>
      </c>
      <c r="D169" s="5" t="str">
        <f t="shared" si="11"/>
        <v/>
      </c>
      <c r="I169" s="5" t="str">
        <f t="shared" si="12"/>
        <v/>
      </c>
      <c r="M169" s="5" t="str">
        <f t="shared" si="13"/>
        <v/>
      </c>
      <c r="R169" s="5" t="str">
        <f>IF($A169="","",IFERROR(VLOOKUP($A169,Sheet1!A:AN,18,0),""))</f>
        <v/>
      </c>
      <c r="S169" s="5" t="str">
        <f>IF($A169="","",IFERROR(VLOOKUP($A169,Sheet1!$A:$AN,19,0),""))</f>
        <v/>
      </c>
      <c r="T169" s="5" t="str">
        <f t="shared" si="14"/>
        <v/>
      </c>
      <c r="U169" s="5" t="str">
        <f>IF($A169="","",IFERROR(VLOOKUP($A169,Sheet1!$A:$AN,21,0),""))</f>
        <v/>
      </c>
      <c r="V169" s="5" t="str">
        <f>IF($A169="","",IFERROR(SUBSTITUTE(VLOOKUP($A169,Sheet1!$A:$AN,22,0),"族",""),""))</f>
        <v/>
      </c>
      <c r="W169" s="5" t="str">
        <f>IF($A169="","",IFERROR(VLOOKUP($A169,Sheet1!$A:$AN,23,0),""))</f>
        <v/>
      </c>
      <c r="X169" s="5" t="str">
        <f>IF($A169="","",IFERROR(VLOOKUP($A169,Sheet1!$A:$AN,24,0),""))</f>
        <v/>
      </c>
      <c r="Y169" s="5" t="str">
        <f>IF($A169="","",IFERROR(VLOOKUP($A169,Sheet1!$A:$AN,25,0),""))</f>
        <v/>
      </c>
      <c r="AK169" s="5" t="str">
        <f>IF($A169="","",IFERROR(VLOOKUP($A169,Sheet1!$A:$AN,37,0),""))</f>
        <v/>
      </c>
      <c r="AL169" s="13" t="str">
        <f>IF($A169="","",IFERROR(VLOOKUP($A169,Sheet1!$A:$AN,38,0),""))</f>
        <v/>
      </c>
      <c r="AM169" s="13" t="str">
        <f>IF($A169="","",IFERROR(VLOOKUP($A169,Sheet1!$A:$AN,39,0),""))</f>
        <v/>
      </c>
      <c r="AN169" s="13" t="str">
        <f>IF($A169="","",IFERROR(VLOOKUP($A169,Sheet1!$A:$AN,40,0),""))</f>
        <v/>
      </c>
    </row>
    <row r="170" customHeight="1" spans="1:40">
      <c r="A170" s="5" t="str">
        <f>IF(Sheet1!$A170="","",Sheet1!$A170)</f>
        <v/>
      </c>
      <c r="B170" s="5" t="str">
        <f t="shared" si="10"/>
        <v/>
      </c>
      <c r="C170" s="5" t="str">
        <f>IF($A170="","",IFERROR(VLOOKUP($A170,Sheet1!$A:$AN,3,0),""))</f>
        <v/>
      </c>
      <c r="D170" s="5" t="str">
        <f t="shared" si="11"/>
        <v/>
      </c>
      <c r="I170" s="5" t="str">
        <f t="shared" si="12"/>
        <v/>
      </c>
      <c r="M170" s="5" t="str">
        <f t="shared" si="13"/>
        <v/>
      </c>
      <c r="R170" s="5" t="str">
        <f>IF($A170="","",IFERROR(VLOOKUP($A170,Sheet1!A:AN,18,0),""))</f>
        <v/>
      </c>
      <c r="S170" s="5" t="str">
        <f>IF($A170="","",IFERROR(VLOOKUP($A170,Sheet1!$A:$AN,19,0),""))</f>
        <v/>
      </c>
      <c r="T170" s="5" t="str">
        <f t="shared" si="14"/>
        <v/>
      </c>
      <c r="U170" s="5" t="str">
        <f>IF($A170="","",IFERROR(VLOOKUP($A170,Sheet1!$A:$AN,21,0),""))</f>
        <v/>
      </c>
      <c r="V170" s="5" t="str">
        <f>IF($A170="","",IFERROR(SUBSTITUTE(VLOOKUP($A170,Sheet1!$A:$AN,22,0),"族",""),""))</f>
        <v/>
      </c>
      <c r="W170" s="5" t="str">
        <f>IF($A170="","",IFERROR(VLOOKUP($A170,Sheet1!$A:$AN,23,0),""))</f>
        <v/>
      </c>
      <c r="X170" s="5" t="str">
        <f>IF($A170="","",IFERROR(VLOOKUP($A170,Sheet1!$A:$AN,24,0),""))</f>
        <v/>
      </c>
      <c r="Y170" s="5" t="str">
        <f>IF($A170="","",IFERROR(VLOOKUP($A170,Sheet1!$A:$AN,25,0),""))</f>
        <v/>
      </c>
      <c r="AK170" s="5" t="str">
        <f>IF($A170="","",IFERROR(VLOOKUP($A170,Sheet1!$A:$AN,37,0),""))</f>
        <v/>
      </c>
      <c r="AL170" s="13" t="str">
        <f>IF($A170="","",IFERROR(VLOOKUP($A170,Sheet1!$A:$AN,38,0),""))</f>
        <v/>
      </c>
      <c r="AM170" s="13" t="str">
        <f>IF($A170="","",IFERROR(VLOOKUP($A170,Sheet1!$A:$AN,39,0),""))</f>
        <v/>
      </c>
      <c r="AN170" s="13" t="str">
        <f>IF($A170="","",IFERROR(VLOOKUP($A170,Sheet1!$A:$AN,40,0),""))</f>
        <v/>
      </c>
    </row>
    <row r="171" customHeight="1" spans="1:40">
      <c r="A171" s="5" t="str">
        <f>IF(Sheet1!$A171="","",Sheet1!$A171)</f>
        <v/>
      </c>
      <c r="B171" s="5" t="str">
        <f t="shared" si="10"/>
        <v/>
      </c>
      <c r="C171" s="5" t="str">
        <f>IF($A171="","",IFERROR(VLOOKUP($A171,Sheet1!$A:$AN,3,0),""))</f>
        <v/>
      </c>
      <c r="D171" s="5" t="str">
        <f t="shared" si="11"/>
        <v/>
      </c>
      <c r="I171" s="5" t="str">
        <f t="shared" si="12"/>
        <v/>
      </c>
      <c r="M171" s="5" t="str">
        <f t="shared" si="13"/>
        <v/>
      </c>
      <c r="R171" s="5" t="str">
        <f>IF($A171="","",IFERROR(VLOOKUP($A171,Sheet1!A:AN,18,0),""))</f>
        <v/>
      </c>
      <c r="S171" s="5" t="str">
        <f>IF($A171="","",IFERROR(VLOOKUP($A171,Sheet1!$A:$AN,19,0),""))</f>
        <v/>
      </c>
      <c r="T171" s="5" t="str">
        <f t="shared" si="14"/>
        <v/>
      </c>
      <c r="U171" s="5" t="str">
        <f>IF($A171="","",IFERROR(VLOOKUP($A171,Sheet1!$A:$AN,21,0),""))</f>
        <v/>
      </c>
      <c r="V171" s="5" t="str">
        <f>IF($A171="","",IFERROR(SUBSTITUTE(VLOOKUP($A171,Sheet1!$A:$AN,22,0),"族",""),""))</f>
        <v/>
      </c>
      <c r="W171" s="5" t="str">
        <f>IF($A171="","",IFERROR(VLOOKUP($A171,Sheet1!$A:$AN,23,0),""))</f>
        <v/>
      </c>
      <c r="X171" s="5" t="str">
        <f>IF($A171="","",IFERROR(VLOOKUP($A171,Sheet1!$A:$AN,24,0),""))</f>
        <v/>
      </c>
      <c r="Y171" s="5" t="str">
        <f>IF($A171="","",IFERROR(VLOOKUP($A171,Sheet1!$A:$AN,25,0),""))</f>
        <v/>
      </c>
      <c r="AK171" s="5" t="str">
        <f>IF($A171="","",IFERROR(VLOOKUP($A171,Sheet1!$A:$AN,37,0),""))</f>
        <v/>
      </c>
      <c r="AL171" s="13" t="str">
        <f>IF($A171="","",IFERROR(VLOOKUP($A171,Sheet1!$A:$AN,38,0),""))</f>
        <v/>
      </c>
      <c r="AM171" s="13" t="str">
        <f>IF($A171="","",IFERROR(VLOOKUP($A171,Sheet1!$A:$AN,39,0),""))</f>
        <v/>
      </c>
      <c r="AN171" s="13" t="str">
        <f>IF($A171="","",IFERROR(VLOOKUP($A171,Sheet1!$A:$AN,40,0),""))</f>
        <v/>
      </c>
    </row>
    <row r="172" customHeight="1" spans="1:40">
      <c r="A172" s="5" t="str">
        <f>IF(Sheet1!$A172="","",Sheet1!$A172)</f>
        <v/>
      </c>
      <c r="B172" s="5" t="str">
        <f t="shared" si="10"/>
        <v/>
      </c>
      <c r="C172" s="5" t="str">
        <f>IF($A172="","",IFERROR(VLOOKUP($A172,Sheet1!$A:$AN,3,0),""))</f>
        <v/>
      </c>
      <c r="D172" s="5" t="str">
        <f t="shared" si="11"/>
        <v/>
      </c>
      <c r="I172" s="5" t="str">
        <f t="shared" si="12"/>
        <v/>
      </c>
      <c r="M172" s="5" t="str">
        <f t="shared" si="13"/>
        <v/>
      </c>
      <c r="R172" s="5" t="str">
        <f>IF($A172="","",IFERROR(VLOOKUP($A172,Sheet1!A:AN,18,0),""))</f>
        <v/>
      </c>
      <c r="S172" s="5" t="str">
        <f>IF($A172="","",IFERROR(VLOOKUP($A172,Sheet1!$A:$AN,19,0),""))</f>
        <v/>
      </c>
      <c r="T172" s="5" t="str">
        <f t="shared" si="14"/>
        <v/>
      </c>
      <c r="U172" s="5" t="str">
        <f>IF($A172="","",IFERROR(VLOOKUP($A172,Sheet1!$A:$AN,21,0),""))</f>
        <v/>
      </c>
      <c r="V172" s="5" t="str">
        <f>IF($A172="","",IFERROR(SUBSTITUTE(VLOOKUP($A172,Sheet1!$A:$AN,22,0),"族",""),""))</f>
        <v/>
      </c>
      <c r="W172" s="5" t="str">
        <f>IF($A172="","",IFERROR(VLOOKUP($A172,Sheet1!$A:$AN,23,0),""))</f>
        <v/>
      </c>
      <c r="X172" s="5" t="str">
        <f>IF($A172="","",IFERROR(VLOOKUP($A172,Sheet1!$A:$AN,24,0),""))</f>
        <v/>
      </c>
      <c r="Y172" s="5" t="str">
        <f>IF($A172="","",IFERROR(VLOOKUP($A172,Sheet1!$A:$AN,25,0),""))</f>
        <v/>
      </c>
      <c r="AK172" s="5" t="str">
        <f>IF($A172="","",IFERROR(VLOOKUP($A172,Sheet1!$A:$AN,37,0),""))</f>
        <v/>
      </c>
      <c r="AL172" s="13" t="str">
        <f>IF($A172="","",IFERROR(VLOOKUP($A172,Sheet1!$A:$AN,38,0),""))</f>
        <v/>
      </c>
      <c r="AM172" s="13" t="str">
        <f>IF($A172="","",IFERROR(VLOOKUP($A172,Sheet1!$A:$AN,39,0),""))</f>
        <v/>
      </c>
      <c r="AN172" s="13" t="str">
        <f>IF($A172="","",IFERROR(VLOOKUP($A172,Sheet1!$A:$AN,40,0),""))</f>
        <v/>
      </c>
    </row>
    <row r="173" customHeight="1" spans="1:40">
      <c r="A173" s="5" t="str">
        <f>IF(Sheet1!$A173="","",Sheet1!$A173)</f>
        <v/>
      </c>
      <c r="B173" s="5" t="str">
        <f t="shared" si="10"/>
        <v/>
      </c>
      <c r="C173" s="5" t="str">
        <f>IF($A173="","",IFERROR(VLOOKUP($A173,Sheet1!$A:$AN,3,0),""))</f>
        <v/>
      </c>
      <c r="D173" s="5" t="str">
        <f t="shared" si="11"/>
        <v/>
      </c>
      <c r="I173" s="5" t="str">
        <f t="shared" si="12"/>
        <v/>
      </c>
      <c r="M173" s="5" t="str">
        <f t="shared" si="13"/>
        <v/>
      </c>
      <c r="R173" s="5" t="str">
        <f>IF($A173="","",IFERROR(VLOOKUP($A173,Sheet1!A:AN,18,0),""))</f>
        <v/>
      </c>
      <c r="S173" s="5" t="str">
        <f>IF($A173="","",IFERROR(VLOOKUP($A173,Sheet1!$A:$AN,19,0),""))</f>
        <v/>
      </c>
      <c r="T173" s="5" t="str">
        <f t="shared" si="14"/>
        <v/>
      </c>
      <c r="U173" s="5" t="str">
        <f>IF($A173="","",IFERROR(VLOOKUP($A173,Sheet1!$A:$AN,21,0),""))</f>
        <v/>
      </c>
      <c r="V173" s="5" t="str">
        <f>IF($A173="","",IFERROR(SUBSTITUTE(VLOOKUP($A173,Sheet1!$A:$AN,22,0),"族",""),""))</f>
        <v/>
      </c>
      <c r="W173" s="5" t="str">
        <f>IF($A173="","",IFERROR(VLOOKUP($A173,Sheet1!$A:$AN,23,0),""))</f>
        <v/>
      </c>
      <c r="X173" s="5" t="str">
        <f>IF($A173="","",IFERROR(VLOOKUP($A173,Sheet1!$A:$AN,24,0),""))</f>
        <v/>
      </c>
      <c r="Y173" s="5" t="str">
        <f>IF($A173="","",IFERROR(VLOOKUP($A173,Sheet1!$A:$AN,25,0),""))</f>
        <v/>
      </c>
      <c r="AK173" s="5" t="str">
        <f>IF($A173="","",IFERROR(VLOOKUP($A173,Sheet1!$A:$AN,37,0),""))</f>
        <v/>
      </c>
      <c r="AL173" s="13" t="str">
        <f>IF($A173="","",IFERROR(VLOOKUP($A173,Sheet1!$A:$AN,38,0),""))</f>
        <v/>
      </c>
      <c r="AM173" s="13" t="str">
        <f>IF($A173="","",IFERROR(VLOOKUP($A173,Sheet1!$A:$AN,39,0),""))</f>
        <v/>
      </c>
      <c r="AN173" s="13" t="str">
        <f>IF($A173="","",IFERROR(VLOOKUP($A173,Sheet1!$A:$AN,40,0),""))</f>
        <v/>
      </c>
    </row>
    <row r="174" customHeight="1" spans="1:40">
      <c r="A174" s="5" t="str">
        <f>IF(Sheet1!$A174="","",Sheet1!$A174)</f>
        <v/>
      </c>
      <c r="B174" s="5" t="str">
        <f t="shared" si="10"/>
        <v/>
      </c>
      <c r="C174" s="5" t="str">
        <f>IF($A174="","",IFERROR(VLOOKUP($A174,Sheet1!$A:$AN,3,0),""))</f>
        <v/>
      </c>
      <c r="D174" s="5" t="str">
        <f t="shared" si="11"/>
        <v/>
      </c>
      <c r="I174" s="5" t="str">
        <f t="shared" si="12"/>
        <v/>
      </c>
      <c r="M174" s="5" t="str">
        <f t="shared" si="13"/>
        <v/>
      </c>
      <c r="R174" s="5" t="str">
        <f>IF($A174="","",IFERROR(VLOOKUP($A174,Sheet1!A:AN,18,0),""))</f>
        <v/>
      </c>
      <c r="S174" s="5" t="str">
        <f>IF($A174="","",IFERROR(VLOOKUP($A174,Sheet1!$A:$AN,19,0),""))</f>
        <v/>
      </c>
      <c r="T174" s="5" t="str">
        <f t="shared" si="14"/>
        <v/>
      </c>
      <c r="U174" s="5" t="str">
        <f>IF($A174="","",IFERROR(VLOOKUP($A174,Sheet1!$A:$AN,21,0),""))</f>
        <v/>
      </c>
      <c r="V174" s="5" t="str">
        <f>IF($A174="","",IFERROR(SUBSTITUTE(VLOOKUP($A174,Sheet1!$A:$AN,22,0),"族",""),""))</f>
        <v/>
      </c>
      <c r="W174" s="5" t="str">
        <f>IF($A174="","",IFERROR(VLOOKUP($A174,Sheet1!$A:$AN,23,0),""))</f>
        <v/>
      </c>
      <c r="X174" s="5" t="str">
        <f>IF($A174="","",IFERROR(VLOOKUP($A174,Sheet1!$A:$AN,24,0),""))</f>
        <v/>
      </c>
      <c r="Y174" s="5" t="str">
        <f>IF($A174="","",IFERROR(VLOOKUP($A174,Sheet1!$A:$AN,25,0),""))</f>
        <v/>
      </c>
      <c r="AK174" s="5" t="str">
        <f>IF($A174="","",IFERROR(VLOOKUP($A174,Sheet1!$A:$AN,37,0),""))</f>
        <v/>
      </c>
      <c r="AL174" s="13" t="str">
        <f>IF($A174="","",IFERROR(VLOOKUP($A174,Sheet1!$A:$AN,38,0),""))</f>
        <v/>
      </c>
      <c r="AM174" s="13" t="str">
        <f>IF($A174="","",IFERROR(VLOOKUP($A174,Sheet1!$A:$AN,39,0),""))</f>
        <v/>
      </c>
      <c r="AN174" s="13" t="str">
        <f>IF($A174="","",IFERROR(VLOOKUP($A174,Sheet1!$A:$AN,40,0),""))</f>
        <v/>
      </c>
    </row>
    <row r="175" customHeight="1" spans="1:40">
      <c r="A175" s="5" t="str">
        <f>IF(Sheet1!$A175="","",Sheet1!$A175)</f>
        <v/>
      </c>
      <c r="B175" s="5" t="str">
        <f t="shared" si="10"/>
        <v/>
      </c>
      <c r="C175" s="5" t="str">
        <f>IF($A175="","",IFERROR(VLOOKUP($A175,Sheet1!$A:$AN,3,0),""))</f>
        <v/>
      </c>
      <c r="D175" s="5" t="str">
        <f t="shared" si="11"/>
        <v/>
      </c>
      <c r="I175" s="5" t="str">
        <f t="shared" si="12"/>
        <v/>
      </c>
      <c r="M175" s="5" t="str">
        <f t="shared" si="13"/>
        <v/>
      </c>
      <c r="R175" s="5" t="str">
        <f>IF($A175="","",IFERROR(VLOOKUP($A175,Sheet1!A:AN,18,0),""))</f>
        <v/>
      </c>
      <c r="S175" s="5" t="str">
        <f>IF($A175="","",IFERROR(VLOOKUP($A175,Sheet1!$A:$AN,19,0),""))</f>
        <v/>
      </c>
      <c r="T175" s="5" t="str">
        <f t="shared" si="14"/>
        <v/>
      </c>
      <c r="U175" s="5" t="str">
        <f>IF($A175="","",IFERROR(VLOOKUP($A175,Sheet1!$A:$AN,21,0),""))</f>
        <v/>
      </c>
      <c r="V175" s="5" t="str">
        <f>IF($A175="","",IFERROR(SUBSTITUTE(VLOOKUP($A175,Sheet1!$A:$AN,22,0),"族",""),""))</f>
        <v/>
      </c>
      <c r="W175" s="5" t="str">
        <f>IF($A175="","",IFERROR(VLOOKUP($A175,Sheet1!$A:$AN,23,0),""))</f>
        <v/>
      </c>
      <c r="X175" s="5" t="str">
        <f>IF($A175="","",IFERROR(VLOOKUP($A175,Sheet1!$A:$AN,24,0),""))</f>
        <v/>
      </c>
      <c r="Y175" s="5" t="str">
        <f>IF($A175="","",IFERROR(VLOOKUP($A175,Sheet1!$A:$AN,25,0),""))</f>
        <v/>
      </c>
      <c r="AK175" s="5" t="str">
        <f>IF($A175="","",IFERROR(VLOOKUP($A175,Sheet1!$A:$AN,37,0),""))</f>
        <v/>
      </c>
      <c r="AL175" s="13" t="str">
        <f>IF($A175="","",IFERROR(VLOOKUP($A175,Sheet1!$A:$AN,38,0),""))</f>
        <v/>
      </c>
      <c r="AM175" s="13" t="str">
        <f>IF($A175="","",IFERROR(VLOOKUP($A175,Sheet1!$A:$AN,39,0),""))</f>
        <v/>
      </c>
      <c r="AN175" s="13" t="str">
        <f>IF($A175="","",IFERROR(VLOOKUP($A175,Sheet1!$A:$AN,40,0),""))</f>
        <v/>
      </c>
    </row>
    <row r="176" customHeight="1" spans="1:40">
      <c r="A176" s="5" t="str">
        <f>IF(Sheet1!$A176="","",Sheet1!$A176)</f>
        <v/>
      </c>
      <c r="B176" s="5" t="str">
        <f t="shared" si="10"/>
        <v/>
      </c>
      <c r="C176" s="5" t="str">
        <f>IF($A176="","",IFERROR(VLOOKUP($A176,Sheet1!$A:$AN,3,0),""))</f>
        <v/>
      </c>
      <c r="D176" s="5" t="str">
        <f t="shared" si="11"/>
        <v/>
      </c>
      <c r="I176" s="5" t="str">
        <f t="shared" si="12"/>
        <v/>
      </c>
      <c r="M176" s="5" t="str">
        <f t="shared" si="13"/>
        <v/>
      </c>
      <c r="R176" s="5" t="str">
        <f>IF($A176="","",IFERROR(VLOOKUP($A176,Sheet1!A:AN,18,0),""))</f>
        <v/>
      </c>
      <c r="S176" s="5" t="str">
        <f>IF($A176="","",IFERROR(VLOOKUP($A176,Sheet1!$A:$AN,19,0),""))</f>
        <v/>
      </c>
      <c r="T176" s="5" t="str">
        <f t="shared" si="14"/>
        <v/>
      </c>
      <c r="U176" s="5" t="str">
        <f>IF($A176="","",IFERROR(VLOOKUP($A176,Sheet1!$A:$AN,21,0),""))</f>
        <v/>
      </c>
      <c r="V176" s="5" t="str">
        <f>IF($A176="","",IFERROR(SUBSTITUTE(VLOOKUP($A176,Sheet1!$A:$AN,22,0),"族",""),""))</f>
        <v/>
      </c>
      <c r="W176" s="5" t="str">
        <f>IF($A176="","",IFERROR(VLOOKUP($A176,Sheet1!$A:$AN,23,0),""))</f>
        <v/>
      </c>
      <c r="X176" s="5" t="str">
        <f>IF($A176="","",IFERROR(VLOOKUP($A176,Sheet1!$A:$AN,24,0),""))</f>
        <v/>
      </c>
      <c r="Y176" s="5" t="str">
        <f>IF($A176="","",IFERROR(VLOOKUP($A176,Sheet1!$A:$AN,25,0),""))</f>
        <v/>
      </c>
      <c r="AK176" s="5" t="str">
        <f>IF($A176="","",IFERROR(VLOOKUP($A176,Sheet1!$A:$AN,37,0),""))</f>
        <v/>
      </c>
      <c r="AL176" s="13" t="str">
        <f>IF($A176="","",IFERROR(VLOOKUP($A176,Sheet1!$A:$AN,38,0),""))</f>
        <v/>
      </c>
      <c r="AM176" s="13" t="str">
        <f>IF($A176="","",IFERROR(VLOOKUP($A176,Sheet1!$A:$AN,39,0),""))</f>
        <v/>
      </c>
      <c r="AN176" s="13" t="str">
        <f>IF($A176="","",IFERROR(VLOOKUP($A176,Sheet1!$A:$AN,40,0),""))</f>
        <v/>
      </c>
    </row>
    <row r="177" customHeight="1" spans="1:40">
      <c r="A177" s="5" t="str">
        <f>IF(Sheet1!$A177="","",Sheet1!$A177)</f>
        <v/>
      </c>
      <c r="B177" s="5" t="str">
        <f t="shared" si="10"/>
        <v/>
      </c>
      <c r="C177" s="5" t="str">
        <f>IF($A177="","",IFERROR(VLOOKUP($A177,Sheet1!$A:$AN,3,0),""))</f>
        <v/>
      </c>
      <c r="D177" s="5" t="str">
        <f t="shared" si="11"/>
        <v/>
      </c>
      <c r="I177" s="5" t="str">
        <f t="shared" si="12"/>
        <v/>
      </c>
      <c r="M177" s="5" t="str">
        <f t="shared" si="13"/>
        <v/>
      </c>
      <c r="R177" s="5" t="str">
        <f>IF($A177="","",IFERROR(VLOOKUP($A177,Sheet1!A:AN,18,0),""))</f>
        <v/>
      </c>
      <c r="S177" s="5" t="str">
        <f>IF($A177="","",IFERROR(VLOOKUP($A177,Sheet1!$A:$AN,19,0),""))</f>
        <v/>
      </c>
      <c r="T177" s="5" t="str">
        <f t="shared" si="14"/>
        <v/>
      </c>
      <c r="U177" s="5" t="str">
        <f>IF($A177="","",IFERROR(VLOOKUP($A177,Sheet1!$A:$AN,21,0),""))</f>
        <v/>
      </c>
      <c r="V177" s="5" t="str">
        <f>IF($A177="","",IFERROR(SUBSTITUTE(VLOOKUP($A177,Sheet1!$A:$AN,22,0),"族",""),""))</f>
        <v/>
      </c>
      <c r="W177" s="5" t="str">
        <f>IF($A177="","",IFERROR(VLOOKUP($A177,Sheet1!$A:$AN,23,0),""))</f>
        <v/>
      </c>
      <c r="X177" s="5" t="str">
        <f>IF($A177="","",IFERROR(VLOOKUP($A177,Sheet1!$A:$AN,24,0),""))</f>
        <v/>
      </c>
      <c r="Y177" s="5" t="str">
        <f>IF($A177="","",IFERROR(VLOOKUP($A177,Sheet1!$A:$AN,25,0),""))</f>
        <v/>
      </c>
      <c r="AK177" s="5" t="str">
        <f>IF($A177="","",IFERROR(VLOOKUP($A177,Sheet1!$A:$AN,37,0),""))</f>
        <v/>
      </c>
      <c r="AL177" s="13" t="str">
        <f>IF($A177="","",IFERROR(VLOOKUP($A177,Sheet1!$A:$AN,38,0),""))</f>
        <v/>
      </c>
      <c r="AM177" s="13" t="str">
        <f>IF($A177="","",IFERROR(VLOOKUP($A177,Sheet1!$A:$AN,39,0),""))</f>
        <v/>
      </c>
      <c r="AN177" s="13" t="str">
        <f>IF($A177="","",IFERROR(VLOOKUP($A177,Sheet1!$A:$AN,40,0),""))</f>
        <v/>
      </c>
    </row>
    <row r="178" customHeight="1" spans="1:40">
      <c r="A178" s="5" t="str">
        <f>IF(Sheet1!$A178="","",Sheet1!$A178)</f>
        <v/>
      </c>
      <c r="B178" s="5" t="str">
        <f t="shared" si="10"/>
        <v/>
      </c>
      <c r="C178" s="5" t="str">
        <f>IF($A178="","",IFERROR(VLOOKUP($A178,Sheet1!$A:$AN,3,0),""))</f>
        <v/>
      </c>
      <c r="D178" s="5" t="str">
        <f t="shared" si="11"/>
        <v/>
      </c>
      <c r="I178" s="5" t="str">
        <f t="shared" si="12"/>
        <v/>
      </c>
      <c r="M178" s="5" t="str">
        <f t="shared" si="13"/>
        <v/>
      </c>
      <c r="R178" s="5" t="str">
        <f>IF($A178="","",IFERROR(VLOOKUP($A178,Sheet1!A:AN,18,0),""))</f>
        <v/>
      </c>
      <c r="S178" s="5" t="str">
        <f>IF($A178="","",IFERROR(VLOOKUP($A178,Sheet1!$A:$AN,19,0),""))</f>
        <v/>
      </c>
      <c r="T178" s="5" t="str">
        <f t="shared" si="14"/>
        <v/>
      </c>
      <c r="U178" s="5" t="str">
        <f>IF($A178="","",IFERROR(VLOOKUP($A178,Sheet1!$A:$AN,21,0),""))</f>
        <v/>
      </c>
      <c r="V178" s="5" t="str">
        <f>IF($A178="","",IFERROR(SUBSTITUTE(VLOOKUP($A178,Sheet1!$A:$AN,22,0),"族",""),""))</f>
        <v/>
      </c>
      <c r="W178" s="5" t="str">
        <f>IF($A178="","",IFERROR(VLOOKUP($A178,Sheet1!$A:$AN,23,0),""))</f>
        <v/>
      </c>
      <c r="X178" s="5" t="str">
        <f>IF($A178="","",IFERROR(VLOOKUP($A178,Sheet1!$A:$AN,24,0),""))</f>
        <v/>
      </c>
      <c r="Y178" s="5" t="str">
        <f>IF($A178="","",IFERROR(VLOOKUP($A178,Sheet1!$A:$AN,25,0),""))</f>
        <v/>
      </c>
      <c r="AK178" s="5" t="str">
        <f>IF($A178="","",IFERROR(VLOOKUP($A178,Sheet1!$A:$AN,37,0),""))</f>
        <v/>
      </c>
      <c r="AL178" s="13" t="str">
        <f>IF($A178="","",IFERROR(VLOOKUP($A178,Sheet1!$A:$AN,38,0),""))</f>
        <v/>
      </c>
      <c r="AM178" s="13" t="str">
        <f>IF($A178="","",IFERROR(VLOOKUP($A178,Sheet1!$A:$AN,39,0),""))</f>
        <v/>
      </c>
      <c r="AN178" s="13" t="str">
        <f>IF($A178="","",IFERROR(VLOOKUP($A178,Sheet1!$A:$AN,40,0),""))</f>
        <v/>
      </c>
    </row>
    <row r="179" customHeight="1" spans="1:40">
      <c r="A179" s="5" t="str">
        <f>IF(Sheet1!$A179="","",Sheet1!$A179)</f>
        <v/>
      </c>
      <c r="B179" s="5" t="str">
        <f t="shared" si="10"/>
        <v/>
      </c>
      <c r="C179" s="5" t="str">
        <f>IF($A179="","",IFERROR(VLOOKUP($A179,Sheet1!$A:$AN,3,0),""))</f>
        <v/>
      </c>
      <c r="D179" s="5" t="str">
        <f t="shared" si="11"/>
        <v/>
      </c>
      <c r="I179" s="5" t="str">
        <f t="shared" si="12"/>
        <v/>
      </c>
      <c r="M179" s="5" t="str">
        <f t="shared" si="13"/>
        <v/>
      </c>
      <c r="R179" s="5" t="str">
        <f>IF($A179="","",IFERROR(VLOOKUP($A179,Sheet1!A:AN,18,0),""))</f>
        <v/>
      </c>
      <c r="S179" s="5" t="str">
        <f>IF($A179="","",IFERROR(VLOOKUP($A179,Sheet1!$A:$AN,19,0),""))</f>
        <v/>
      </c>
      <c r="T179" s="5" t="str">
        <f t="shared" si="14"/>
        <v/>
      </c>
      <c r="U179" s="5" t="str">
        <f>IF($A179="","",IFERROR(VLOOKUP($A179,Sheet1!$A:$AN,21,0),""))</f>
        <v/>
      </c>
      <c r="V179" s="5" t="str">
        <f>IF($A179="","",IFERROR(SUBSTITUTE(VLOOKUP($A179,Sheet1!$A:$AN,22,0),"族",""),""))</f>
        <v/>
      </c>
      <c r="W179" s="5" t="str">
        <f>IF($A179="","",IFERROR(VLOOKUP($A179,Sheet1!$A:$AN,23,0),""))</f>
        <v/>
      </c>
      <c r="X179" s="5" t="str">
        <f>IF($A179="","",IFERROR(VLOOKUP($A179,Sheet1!$A:$AN,24,0),""))</f>
        <v/>
      </c>
      <c r="Y179" s="5" t="str">
        <f>IF($A179="","",IFERROR(VLOOKUP($A179,Sheet1!$A:$AN,25,0),""))</f>
        <v/>
      </c>
      <c r="AK179" s="5" t="str">
        <f>IF($A179="","",IFERROR(VLOOKUP($A179,Sheet1!$A:$AN,37,0),""))</f>
        <v/>
      </c>
      <c r="AL179" s="13" t="str">
        <f>IF($A179="","",IFERROR(VLOOKUP($A179,Sheet1!$A:$AN,38,0),""))</f>
        <v/>
      </c>
      <c r="AM179" s="13" t="str">
        <f>IF($A179="","",IFERROR(VLOOKUP($A179,Sheet1!$A:$AN,39,0),""))</f>
        <v/>
      </c>
      <c r="AN179" s="13" t="str">
        <f>IF($A179="","",IFERROR(VLOOKUP($A179,Sheet1!$A:$AN,40,0),""))</f>
        <v/>
      </c>
    </row>
    <row r="180" customHeight="1" spans="1:40">
      <c r="A180" s="5" t="str">
        <f>IF(Sheet1!$A180="","",Sheet1!$A180)</f>
        <v/>
      </c>
      <c r="B180" s="5" t="str">
        <f t="shared" si="10"/>
        <v/>
      </c>
      <c r="C180" s="5" t="str">
        <f>IF($A180="","",IFERROR(VLOOKUP($A180,Sheet1!$A:$AN,3,0),""))</f>
        <v/>
      </c>
      <c r="D180" s="5" t="str">
        <f t="shared" si="11"/>
        <v/>
      </c>
      <c r="I180" s="5" t="str">
        <f t="shared" si="12"/>
        <v/>
      </c>
      <c r="M180" s="5" t="str">
        <f t="shared" si="13"/>
        <v/>
      </c>
      <c r="R180" s="5" t="str">
        <f>IF($A180="","",IFERROR(VLOOKUP($A180,Sheet1!A:AN,18,0),""))</f>
        <v/>
      </c>
      <c r="S180" s="5" t="str">
        <f>IF($A180="","",IFERROR(VLOOKUP($A180,Sheet1!$A:$AN,19,0),""))</f>
        <v/>
      </c>
      <c r="T180" s="5" t="str">
        <f t="shared" si="14"/>
        <v/>
      </c>
      <c r="U180" s="5" t="str">
        <f>IF($A180="","",IFERROR(VLOOKUP($A180,Sheet1!$A:$AN,21,0),""))</f>
        <v/>
      </c>
      <c r="V180" s="5" t="str">
        <f>IF($A180="","",IFERROR(SUBSTITUTE(VLOOKUP($A180,Sheet1!$A:$AN,22,0),"族",""),""))</f>
        <v/>
      </c>
      <c r="W180" s="5" t="str">
        <f>IF($A180="","",IFERROR(VLOOKUP($A180,Sheet1!$A:$AN,23,0),""))</f>
        <v/>
      </c>
      <c r="X180" s="5" t="str">
        <f>IF($A180="","",IFERROR(VLOOKUP($A180,Sheet1!$A:$AN,24,0),""))</f>
        <v/>
      </c>
      <c r="Y180" s="5" t="str">
        <f>IF($A180="","",IFERROR(VLOOKUP($A180,Sheet1!$A:$AN,25,0),""))</f>
        <v/>
      </c>
      <c r="AK180" s="5" t="str">
        <f>IF($A180="","",IFERROR(VLOOKUP($A180,Sheet1!$A:$AN,37,0),""))</f>
        <v/>
      </c>
      <c r="AL180" s="13" t="str">
        <f>IF($A180="","",IFERROR(VLOOKUP($A180,Sheet1!$A:$AN,38,0),""))</f>
        <v/>
      </c>
      <c r="AM180" s="13" t="str">
        <f>IF($A180="","",IFERROR(VLOOKUP($A180,Sheet1!$A:$AN,39,0),""))</f>
        <v/>
      </c>
      <c r="AN180" s="13" t="str">
        <f>IF($A180="","",IFERROR(VLOOKUP($A180,Sheet1!$A:$AN,40,0),""))</f>
        <v/>
      </c>
    </row>
    <row r="181" customHeight="1" spans="1:40">
      <c r="A181" s="5" t="str">
        <f>IF(Sheet1!$A181="","",Sheet1!$A181)</f>
        <v/>
      </c>
      <c r="B181" s="5" t="str">
        <f t="shared" si="10"/>
        <v/>
      </c>
      <c r="C181" s="5" t="str">
        <f>IF($A181="","",IFERROR(VLOOKUP($A181,Sheet1!$A:$AN,3,0),""))</f>
        <v/>
      </c>
      <c r="D181" s="5" t="str">
        <f t="shared" si="11"/>
        <v/>
      </c>
      <c r="I181" s="5" t="str">
        <f t="shared" si="12"/>
        <v/>
      </c>
      <c r="M181" s="5" t="str">
        <f t="shared" si="13"/>
        <v/>
      </c>
      <c r="R181" s="5" t="str">
        <f>IF($A181="","",IFERROR(VLOOKUP($A181,Sheet1!A:AN,18,0),""))</f>
        <v/>
      </c>
      <c r="S181" s="5" t="str">
        <f>IF($A181="","",IFERROR(VLOOKUP($A181,Sheet1!$A:$AN,19,0),""))</f>
        <v/>
      </c>
      <c r="T181" s="5" t="str">
        <f t="shared" si="14"/>
        <v/>
      </c>
      <c r="U181" s="5" t="str">
        <f>IF($A181="","",IFERROR(VLOOKUP($A181,Sheet1!$A:$AN,21,0),""))</f>
        <v/>
      </c>
      <c r="V181" s="5" t="str">
        <f>IF($A181="","",IFERROR(SUBSTITUTE(VLOOKUP($A181,Sheet1!$A:$AN,22,0),"族",""),""))</f>
        <v/>
      </c>
      <c r="W181" s="5" t="str">
        <f>IF($A181="","",IFERROR(VLOOKUP($A181,Sheet1!$A:$AN,23,0),""))</f>
        <v/>
      </c>
      <c r="X181" s="5" t="str">
        <f>IF($A181="","",IFERROR(VLOOKUP($A181,Sheet1!$A:$AN,24,0),""))</f>
        <v/>
      </c>
      <c r="Y181" s="5" t="str">
        <f>IF($A181="","",IFERROR(VLOOKUP($A181,Sheet1!$A:$AN,25,0),""))</f>
        <v/>
      </c>
      <c r="AK181" s="5" t="str">
        <f>IF($A181="","",IFERROR(VLOOKUP($A181,Sheet1!$A:$AN,37,0),""))</f>
        <v/>
      </c>
      <c r="AL181" s="13" t="str">
        <f>IF($A181="","",IFERROR(VLOOKUP($A181,Sheet1!$A:$AN,38,0),""))</f>
        <v/>
      </c>
      <c r="AM181" s="13" t="str">
        <f>IF($A181="","",IFERROR(VLOOKUP($A181,Sheet1!$A:$AN,39,0),""))</f>
        <v/>
      </c>
      <c r="AN181" s="13" t="str">
        <f>IF($A181="","",IFERROR(VLOOKUP($A181,Sheet1!$A:$AN,40,0),""))</f>
        <v/>
      </c>
    </row>
    <row r="182" customHeight="1" spans="1:40">
      <c r="A182" s="5" t="str">
        <f>IF(Sheet1!$A182="","",Sheet1!$A182)</f>
        <v/>
      </c>
      <c r="B182" s="5" t="str">
        <f t="shared" si="10"/>
        <v/>
      </c>
      <c r="C182" s="5" t="str">
        <f>IF($A182="","",IFERROR(VLOOKUP($A182,Sheet1!$A:$AN,3,0),""))</f>
        <v/>
      </c>
      <c r="D182" s="5" t="str">
        <f t="shared" si="11"/>
        <v/>
      </c>
      <c r="I182" s="5" t="str">
        <f t="shared" si="12"/>
        <v/>
      </c>
      <c r="M182" s="5" t="str">
        <f t="shared" si="13"/>
        <v/>
      </c>
      <c r="R182" s="5" t="str">
        <f>IF($A182="","",IFERROR(VLOOKUP($A182,Sheet1!A:AN,18,0),""))</f>
        <v/>
      </c>
      <c r="S182" s="5" t="str">
        <f>IF($A182="","",IFERROR(VLOOKUP($A182,Sheet1!$A:$AN,19,0),""))</f>
        <v/>
      </c>
      <c r="T182" s="5" t="str">
        <f t="shared" si="14"/>
        <v/>
      </c>
      <c r="U182" s="5" t="str">
        <f>IF($A182="","",IFERROR(VLOOKUP($A182,Sheet1!$A:$AN,21,0),""))</f>
        <v/>
      </c>
      <c r="V182" s="5" t="str">
        <f>IF($A182="","",IFERROR(SUBSTITUTE(VLOOKUP($A182,Sheet1!$A:$AN,22,0),"族",""),""))</f>
        <v/>
      </c>
      <c r="W182" s="5" t="str">
        <f>IF($A182="","",IFERROR(VLOOKUP($A182,Sheet1!$A:$AN,23,0),""))</f>
        <v/>
      </c>
      <c r="X182" s="5" t="str">
        <f>IF($A182="","",IFERROR(VLOOKUP($A182,Sheet1!$A:$AN,24,0),""))</f>
        <v/>
      </c>
      <c r="Y182" s="5" t="str">
        <f>IF($A182="","",IFERROR(VLOOKUP($A182,Sheet1!$A:$AN,25,0),""))</f>
        <v/>
      </c>
      <c r="AK182" s="5" t="str">
        <f>IF($A182="","",IFERROR(VLOOKUP($A182,Sheet1!$A:$AN,37,0),""))</f>
        <v/>
      </c>
      <c r="AL182" s="13" t="str">
        <f>IF($A182="","",IFERROR(VLOOKUP($A182,Sheet1!$A:$AN,38,0),""))</f>
        <v/>
      </c>
      <c r="AM182" s="13" t="str">
        <f>IF($A182="","",IFERROR(VLOOKUP($A182,Sheet1!$A:$AN,39,0),""))</f>
        <v/>
      </c>
      <c r="AN182" s="13" t="str">
        <f>IF($A182="","",IFERROR(VLOOKUP($A182,Sheet1!$A:$AN,40,0),""))</f>
        <v/>
      </c>
    </row>
    <row r="183" customHeight="1" spans="1:40">
      <c r="A183" s="5" t="str">
        <f>IF(Sheet1!$A183="","",Sheet1!$A183)</f>
        <v/>
      </c>
      <c r="B183" s="5" t="str">
        <f t="shared" si="10"/>
        <v/>
      </c>
      <c r="C183" s="5" t="str">
        <f>IF($A183="","",IFERROR(VLOOKUP($A183,Sheet1!$A:$AN,3,0),""))</f>
        <v/>
      </c>
      <c r="D183" s="5" t="str">
        <f t="shared" si="11"/>
        <v/>
      </c>
      <c r="I183" s="5" t="str">
        <f t="shared" si="12"/>
        <v/>
      </c>
      <c r="M183" s="5" t="str">
        <f t="shared" si="13"/>
        <v/>
      </c>
      <c r="R183" s="5" t="str">
        <f>IF($A183="","",IFERROR(VLOOKUP($A183,Sheet1!A:AN,18,0),""))</f>
        <v/>
      </c>
      <c r="S183" s="5" t="str">
        <f>IF($A183="","",IFERROR(VLOOKUP($A183,Sheet1!$A:$AN,19,0),""))</f>
        <v/>
      </c>
      <c r="T183" s="5" t="str">
        <f t="shared" si="14"/>
        <v/>
      </c>
      <c r="U183" s="5" t="str">
        <f>IF($A183="","",IFERROR(VLOOKUP($A183,Sheet1!$A:$AN,21,0),""))</f>
        <v/>
      </c>
      <c r="V183" s="5" t="str">
        <f>IF($A183="","",IFERROR(SUBSTITUTE(VLOOKUP($A183,Sheet1!$A:$AN,22,0),"族",""),""))</f>
        <v/>
      </c>
      <c r="W183" s="5" t="str">
        <f>IF($A183="","",IFERROR(VLOOKUP($A183,Sheet1!$A:$AN,23,0),""))</f>
        <v/>
      </c>
      <c r="X183" s="5" t="str">
        <f>IF($A183="","",IFERROR(VLOOKUP($A183,Sheet1!$A:$AN,24,0),""))</f>
        <v/>
      </c>
      <c r="Y183" s="5" t="str">
        <f>IF($A183="","",IFERROR(VLOOKUP($A183,Sheet1!$A:$AN,25,0),""))</f>
        <v/>
      </c>
      <c r="AK183" s="5" t="str">
        <f>IF($A183="","",IFERROR(VLOOKUP($A183,Sheet1!$A:$AN,37,0),""))</f>
        <v/>
      </c>
      <c r="AL183" s="13" t="str">
        <f>IF($A183="","",IFERROR(VLOOKUP($A183,Sheet1!$A:$AN,38,0),""))</f>
        <v/>
      </c>
      <c r="AM183" s="13" t="str">
        <f>IF($A183="","",IFERROR(VLOOKUP($A183,Sheet1!$A:$AN,39,0),""))</f>
        <v/>
      </c>
      <c r="AN183" s="13" t="str">
        <f>IF($A183="","",IFERROR(VLOOKUP($A183,Sheet1!$A:$AN,40,0),""))</f>
        <v/>
      </c>
    </row>
    <row r="184" customHeight="1" spans="1:40">
      <c r="A184" s="5" t="str">
        <f>IF(Sheet1!$A184="","",Sheet1!$A184)</f>
        <v/>
      </c>
      <c r="B184" s="5" t="str">
        <f t="shared" si="10"/>
        <v/>
      </c>
      <c r="C184" s="5" t="str">
        <f>IF($A184="","",IFERROR(VLOOKUP($A184,Sheet1!$A:$AN,3,0),""))</f>
        <v/>
      </c>
      <c r="D184" s="5" t="str">
        <f t="shared" si="11"/>
        <v/>
      </c>
      <c r="I184" s="5" t="str">
        <f t="shared" si="12"/>
        <v/>
      </c>
      <c r="M184" s="5" t="str">
        <f t="shared" si="13"/>
        <v/>
      </c>
      <c r="R184" s="5" t="str">
        <f>IF($A184="","",IFERROR(VLOOKUP($A184,Sheet1!A:AN,18,0),""))</f>
        <v/>
      </c>
      <c r="S184" s="5" t="str">
        <f>IF($A184="","",IFERROR(VLOOKUP($A184,Sheet1!$A:$AN,19,0),""))</f>
        <v/>
      </c>
      <c r="T184" s="5" t="str">
        <f t="shared" si="14"/>
        <v/>
      </c>
      <c r="U184" s="5" t="str">
        <f>IF($A184="","",IFERROR(VLOOKUP($A184,Sheet1!$A:$AN,21,0),""))</f>
        <v/>
      </c>
      <c r="V184" s="5" t="str">
        <f>IF($A184="","",IFERROR(SUBSTITUTE(VLOOKUP($A184,Sheet1!$A:$AN,22,0),"族",""),""))</f>
        <v/>
      </c>
      <c r="W184" s="5" t="str">
        <f>IF($A184="","",IFERROR(VLOOKUP($A184,Sheet1!$A:$AN,23,0),""))</f>
        <v/>
      </c>
      <c r="X184" s="5" t="str">
        <f>IF($A184="","",IFERROR(VLOOKUP($A184,Sheet1!$A:$AN,24,0),""))</f>
        <v/>
      </c>
      <c r="Y184" s="5" t="str">
        <f>IF($A184="","",IFERROR(VLOOKUP($A184,Sheet1!$A:$AN,25,0),""))</f>
        <v/>
      </c>
      <c r="AK184" s="5" t="str">
        <f>IF($A184="","",IFERROR(VLOOKUP($A184,Sheet1!$A:$AN,37,0),""))</f>
        <v/>
      </c>
      <c r="AL184" s="13" t="str">
        <f>IF($A184="","",IFERROR(VLOOKUP($A184,Sheet1!$A:$AN,38,0),""))</f>
        <v/>
      </c>
      <c r="AM184" s="13" t="str">
        <f>IF($A184="","",IFERROR(VLOOKUP($A184,Sheet1!$A:$AN,39,0),""))</f>
        <v/>
      </c>
      <c r="AN184" s="13" t="str">
        <f>IF($A184="","",IFERROR(VLOOKUP($A184,Sheet1!$A:$AN,40,0),""))</f>
        <v/>
      </c>
    </row>
    <row r="185" customHeight="1" spans="1:40">
      <c r="A185" s="5" t="str">
        <f>IF(Sheet1!$A185="","",Sheet1!$A185)</f>
        <v/>
      </c>
      <c r="B185" s="5" t="str">
        <f t="shared" si="10"/>
        <v/>
      </c>
      <c r="C185" s="5" t="str">
        <f>IF($A185="","",IFERROR(VLOOKUP($A185,Sheet1!$A:$AN,3,0),""))</f>
        <v/>
      </c>
      <c r="D185" s="5" t="str">
        <f t="shared" si="11"/>
        <v/>
      </c>
      <c r="I185" s="5" t="str">
        <f t="shared" si="12"/>
        <v/>
      </c>
      <c r="M185" s="5" t="str">
        <f t="shared" si="13"/>
        <v/>
      </c>
      <c r="R185" s="5" t="str">
        <f>IF($A185="","",IFERROR(VLOOKUP($A185,Sheet1!A:AN,18,0),""))</f>
        <v/>
      </c>
      <c r="S185" s="5" t="str">
        <f>IF($A185="","",IFERROR(VLOOKUP($A185,Sheet1!$A:$AN,19,0),""))</f>
        <v/>
      </c>
      <c r="T185" s="5" t="str">
        <f t="shared" si="14"/>
        <v/>
      </c>
      <c r="U185" s="5" t="str">
        <f>IF($A185="","",IFERROR(VLOOKUP($A185,Sheet1!$A:$AN,21,0),""))</f>
        <v/>
      </c>
      <c r="V185" s="5" t="str">
        <f>IF($A185="","",IFERROR(SUBSTITUTE(VLOOKUP($A185,Sheet1!$A:$AN,22,0),"族",""),""))</f>
        <v/>
      </c>
      <c r="W185" s="5" t="str">
        <f>IF($A185="","",IFERROR(VLOOKUP($A185,Sheet1!$A:$AN,23,0),""))</f>
        <v/>
      </c>
      <c r="X185" s="5" t="str">
        <f>IF($A185="","",IFERROR(VLOOKUP($A185,Sheet1!$A:$AN,24,0),""))</f>
        <v/>
      </c>
      <c r="Y185" s="5" t="str">
        <f>IF($A185="","",IFERROR(VLOOKUP($A185,Sheet1!$A:$AN,25,0),""))</f>
        <v/>
      </c>
      <c r="AK185" s="5" t="str">
        <f>IF($A185="","",IFERROR(VLOOKUP($A185,Sheet1!$A:$AN,37,0),""))</f>
        <v/>
      </c>
      <c r="AL185" s="13" t="str">
        <f>IF($A185="","",IFERROR(VLOOKUP($A185,Sheet1!$A:$AN,38,0),""))</f>
        <v/>
      </c>
      <c r="AM185" s="13" t="str">
        <f>IF($A185="","",IFERROR(VLOOKUP($A185,Sheet1!$A:$AN,39,0),""))</f>
        <v/>
      </c>
      <c r="AN185" s="13" t="str">
        <f>IF($A185="","",IFERROR(VLOOKUP($A185,Sheet1!$A:$AN,40,0),""))</f>
        <v/>
      </c>
    </row>
    <row r="186" customHeight="1" spans="1:40">
      <c r="A186" s="5" t="str">
        <f>IF(Sheet1!$A186="","",Sheet1!$A186)</f>
        <v/>
      </c>
      <c r="B186" s="5" t="str">
        <f t="shared" si="10"/>
        <v/>
      </c>
      <c r="C186" s="5" t="str">
        <f>IF($A186="","",IFERROR(VLOOKUP($A186,Sheet1!$A:$AN,3,0),""))</f>
        <v/>
      </c>
      <c r="D186" s="5" t="str">
        <f t="shared" si="11"/>
        <v/>
      </c>
      <c r="I186" s="5" t="str">
        <f t="shared" si="12"/>
        <v/>
      </c>
      <c r="M186" s="5" t="str">
        <f t="shared" si="13"/>
        <v/>
      </c>
      <c r="R186" s="5" t="str">
        <f>IF($A186="","",IFERROR(VLOOKUP($A186,Sheet1!A:AN,18,0),""))</f>
        <v/>
      </c>
      <c r="S186" s="5" t="str">
        <f>IF($A186="","",IFERROR(VLOOKUP($A186,Sheet1!$A:$AN,19,0),""))</f>
        <v/>
      </c>
      <c r="T186" s="5" t="str">
        <f t="shared" si="14"/>
        <v/>
      </c>
      <c r="U186" s="5" t="str">
        <f>IF($A186="","",IFERROR(VLOOKUP($A186,Sheet1!$A:$AN,21,0),""))</f>
        <v/>
      </c>
      <c r="V186" s="5" t="str">
        <f>IF($A186="","",IFERROR(SUBSTITUTE(VLOOKUP($A186,Sheet1!$A:$AN,22,0),"族",""),""))</f>
        <v/>
      </c>
      <c r="W186" s="5" t="str">
        <f>IF($A186="","",IFERROR(VLOOKUP($A186,Sheet1!$A:$AN,23,0),""))</f>
        <v/>
      </c>
      <c r="X186" s="5" t="str">
        <f>IF($A186="","",IFERROR(VLOOKUP($A186,Sheet1!$A:$AN,24,0),""))</f>
        <v/>
      </c>
      <c r="Y186" s="5" t="str">
        <f>IF($A186="","",IFERROR(VLOOKUP($A186,Sheet1!$A:$AN,25,0),""))</f>
        <v/>
      </c>
      <c r="AK186" s="5" t="str">
        <f>IF($A186="","",IFERROR(VLOOKUP($A186,Sheet1!$A:$AN,37,0),""))</f>
        <v/>
      </c>
      <c r="AL186" s="13" t="str">
        <f>IF($A186="","",IFERROR(VLOOKUP($A186,Sheet1!$A:$AN,38,0),""))</f>
        <v/>
      </c>
      <c r="AM186" s="13" t="str">
        <f>IF($A186="","",IFERROR(VLOOKUP($A186,Sheet1!$A:$AN,39,0),""))</f>
        <v/>
      </c>
      <c r="AN186" s="13" t="str">
        <f>IF($A186="","",IFERROR(VLOOKUP($A186,Sheet1!$A:$AN,40,0),""))</f>
        <v/>
      </c>
    </row>
    <row r="187" customHeight="1" spans="1:40">
      <c r="A187" s="5" t="str">
        <f>IF(Sheet1!$A187="","",Sheet1!$A187)</f>
        <v/>
      </c>
      <c r="B187" s="5" t="str">
        <f t="shared" si="10"/>
        <v/>
      </c>
      <c r="C187" s="5" t="str">
        <f>IF($A187="","",IFERROR(VLOOKUP($A187,Sheet1!$A:$AN,3,0),""))</f>
        <v/>
      </c>
      <c r="D187" s="5" t="str">
        <f t="shared" si="11"/>
        <v/>
      </c>
      <c r="I187" s="5" t="str">
        <f t="shared" si="12"/>
        <v/>
      </c>
      <c r="M187" s="5" t="str">
        <f t="shared" si="13"/>
        <v/>
      </c>
      <c r="R187" s="5" t="str">
        <f>IF($A187="","",IFERROR(VLOOKUP($A187,Sheet1!A:AN,18,0),""))</f>
        <v/>
      </c>
      <c r="S187" s="5" t="str">
        <f>IF($A187="","",IFERROR(VLOOKUP($A187,Sheet1!$A:$AN,19,0),""))</f>
        <v/>
      </c>
      <c r="T187" s="5" t="str">
        <f t="shared" si="14"/>
        <v/>
      </c>
      <c r="U187" s="5" t="str">
        <f>IF($A187="","",IFERROR(VLOOKUP($A187,Sheet1!$A:$AN,21,0),""))</f>
        <v/>
      </c>
      <c r="V187" s="5" t="str">
        <f>IF($A187="","",IFERROR(SUBSTITUTE(VLOOKUP($A187,Sheet1!$A:$AN,22,0),"族",""),""))</f>
        <v/>
      </c>
      <c r="W187" s="5" t="str">
        <f>IF($A187="","",IFERROR(VLOOKUP($A187,Sheet1!$A:$AN,23,0),""))</f>
        <v/>
      </c>
      <c r="X187" s="5" t="str">
        <f>IF($A187="","",IFERROR(VLOOKUP($A187,Sheet1!$A:$AN,24,0),""))</f>
        <v/>
      </c>
      <c r="Y187" s="5" t="str">
        <f>IF($A187="","",IFERROR(VLOOKUP($A187,Sheet1!$A:$AN,25,0),""))</f>
        <v/>
      </c>
      <c r="AK187" s="5" t="str">
        <f>IF($A187="","",IFERROR(VLOOKUP($A187,Sheet1!$A:$AN,37,0),""))</f>
        <v/>
      </c>
      <c r="AL187" s="13" t="str">
        <f>IF($A187="","",IFERROR(VLOOKUP($A187,Sheet1!$A:$AN,38,0),""))</f>
        <v/>
      </c>
      <c r="AM187" s="13" t="str">
        <f>IF($A187="","",IFERROR(VLOOKUP($A187,Sheet1!$A:$AN,39,0),""))</f>
        <v/>
      </c>
      <c r="AN187" s="13" t="str">
        <f>IF($A187="","",IFERROR(VLOOKUP($A187,Sheet1!$A:$AN,40,0),""))</f>
        <v/>
      </c>
    </row>
    <row r="188" customHeight="1" spans="1:40">
      <c r="A188" s="5" t="str">
        <f>IF(Sheet1!$A188="","",Sheet1!$A188)</f>
        <v/>
      </c>
      <c r="B188" s="5" t="str">
        <f t="shared" si="10"/>
        <v/>
      </c>
      <c r="C188" s="5" t="str">
        <f>IF($A188="","",IFERROR(VLOOKUP($A188,Sheet1!$A:$AN,3,0),""))</f>
        <v/>
      </c>
      <c r="D188" s="5" t="str">
        <f t="shared" si="11"/>
        <v/>
      </c>
      <c r="I188" s="5" t="str">
        <f t="shared" si="12"/>
        <v/>
      </c>
      <c r="M188" s="5" t="str">
        <f t="shared" si="13"/>
        <v/>
      </c>
      <c r="R188" s="5" t="str">
        <f>IF($A188="","",IFERROR(VLOOKUP($A188,Sheet1!A:AN,18,0),""))</f>
        <v/>
      </c>
      <c r="S188" s="5" t="str">
        <f>IF($A188="","",IFERROR(VLOOKUP($A188,Sheet1!$A:$AN,19,0),""))</f>
        <v/>
      </c>
      <c r="T188" s="5" t="str">
        <f t="shared" si="14"/>
        <v/>
      </c>
      <c r="U188" s="5" t="str">
        <f>IF($A188="","",IFERROR(VLOOKUP($A188,Sheet1!$A:$AN,21,0),""))</f>
        <v/>
      </c>
      <c r="V188" s="5" t="str">
        <f>IF($A188="","",IFERROR(SUBSTITUTE(VLOOKUP($A188,Sheet1!$A:$AN,22,0),"族",""),""))</f>
        <v/>
      </c>
      <c r="W188" s="5" t="str">
        <f>IF($A188="","",IFERROR(VLOOKUP($A188,Sheet1!$A:$AN,23,0),""))</f>
        <v/>
      </c>
      <c r="X188" s="5" t="str">
        <f>IF($A188="","",IFERROR(VLOOKUP($A188,Sheet1!$A:$AN,24,0),""))</f>
        <v/>
      </c>
      <c r="Y188" s="5" t="str">
        <f>IF($A188="","",IFERROR(VLOOKUP($A188,Sheet1!$A:$AN,25,0),""))</f>
        <v/>
      </c>
      <c r="AK188" s="5" t="str">
        <f>IF($A188="","",IFERROR(VLOOKUP($A188,Sheet1!$A:$AN,37,0),""))</f>
        <v/>
      </c>
      <c r="AL188" s="13" t="str">
        <f>IF($A188="","",IFERROR(VLOOKUP($A188,Sheet1!$A:$AN,38,0),""))</f>
        <v/>
      </c>
      <c r="AM188" s="13" t="str">
        <f>IF($A188="","",IFERROR(VLOOKUP($A188,Sheet1!$A:$AN,39,0),""))</f>
        <v/>
      </c>
      <c r="AN188" s="13" t="str">
        <f>IF($A188="","",IFERROR(VLOOKUP($A188,Sheet1!$A:$AN,40,0),""))</f>
        <v/>
      </c>
    </row>
    <row r="189" customHeight="1" spans="1:40">
      <c r="A189" s="5" t="str">
        <f>IF(Sheet1!$A189="","",Sheet1!$A189)</f>
        <v/>
      </c>
      <c r="B189" s="5" t="str">
        <f t="shared" si="10"/>
        <v/>
      </c>
      <c r="C189" s="5" t="str">
        <f>IF($A189="","",IFERROR(VLOOKUP($A189,Sheet1!$A:$AN,3,0),""))</f>
        <v/>
      </c>
      <c r="D189" s="5" t="str">
        <f t="shared" si="11"/>
        <v/>
      </c>
      <c r="I189" s="5" t="str">
        <f t="shared" si="12"/>
        <v/>
      </c>
      <c r="M189" s="5" t="str">
        <f t="shared" si="13"/>
        <v/>
      </c>
      <c r="R189" s="5" t="str">
        <f>IF($A189="","",IFERROR(VLOOKUP($A189,Sheet1!A:AN,18,0),""))</f>
        <v/>
      </c>
      <c r="S189" s="5" t="str">
        <f>IF($A189="","",IFERROR(VLOOKUP($A189,Sheet1!$A:$AN,19,0),""))</f>
        <v/>
      </c>
      <c r="T189" s="5" t="str">
        <f t="shared" si="14"/>
        <v/>
      </c>
      <c r="U189" s="5" t="str">
        <f>IF($A189="","",IFERROR(VLOOKUP($A189,Sheet1!$A:$AN,21,0),""))</f>
        <v/>
      </c>
      <c r="V189" s="5" t="str">
        <f>IF($A189="","",IFERROR(SUBSTITUTE(VLOOKUP($A189,Sheet1!$A:$AN,22,0),"族",""),""))</f>
        <v/>
      </c>
      <c r="W189" s="5" t="str">
        <f>IF($A189="","",IFERROR(VLOOKUP($A189,Sheet1!$A:$AN,23,0),""))</f>
        <v/>
      </c>
      <c r="X189" s="5" t="str">
        <f>IF($A189="","",IFERROR(VLOOKUP($A189,Sheet1!$A:$AN,24,0),""))</f>
        <v/>
      </c>
      <c r="Y189" s="5" t="str">
        <f>IF($A189="","",IFERROR(VLOOKUP($A189,Sheet1!$A:$AN,25,0),""))</f>
        <v/>
      </c>
      <c r="AK189" s="5" t="str">
        <f>IF($A189="","",IFERROR(VLOOKUP($A189,Sheet1!$A:$AN,37,0),""))</f>
        <v/>
      </c>
      <c r="AL189" s="13" t="str">
        <f>IF($A189="","",IFERROR(VLOOKUP($A189,Sheet1!$A:$AN,38,0),""))</f>
        <v/>
      </c>
      <c r="AM189" s="13" t="str">
        <f>IF($A189="","",IFERROR(VLOOKUP($A189,Sheet1!$A:$AN,39,0),""))</f>
        <v/>
      </c>
      <c r="AN189" s="13" t="str">
        <f>IF($A189="","",IFERROR(VLOOKUP($A189,Sheet1!$A:$AN,40,0),""))</f>
        <v/>
      </c>
    </row>
    <row r="190" customHeight="1" spans="1:40">
      <c r="A190" s="5" t="str">
        <f>IF(Sheet1!$A190="","",Sheet1!$A190)</f>
        <v/>
      </c>
      <c r="B190" s="5" t="str">
        <f t="shared" si="10"/>
        <v/>
      </c>
      <c r="C190" s="5" t="str">
        <f>IF($A190="","",IFERROR(VLOOKUP($A190,Sheet1!$A:$AN,3,0),""))</f>
        <v/>
      </c>
      <c r="D190" s="5" t="str">
        <f t="shared" si="11"/>
        <v/>
      </c>
      <c r="I190" s="5" t="str">
        <f t="shared" si="12"/>
        <v/>
      </c>
      <c r="M190" s="5" t="str">
        <f t="shared" si="13"/>
        <v/>
      </c>
      <c r="R190" s="5" t="str">
        <f>IF($A190="","",IFERROR(VLOOKUP($A190,Sheet1!A:AN,18,0),""))</f>
        <v/>
      </c>
      <c r="S190" s="5" t="str">
        <f>IF($A190="","",IFERROR(VLOOKUP($A190,Sheet1!$A:$AN,19,0),""))</f>
        <v/>
      </c>
      <c r="T190" s="5" t="str">
        <f t="shared" si="14"/>
        <v/>
      </c>
      <c r="U190" s="5" t="str">
        <f>IF($A190="","",IFERROR(VLOOKUP($A190,Sheet1!$A:$AN,21,0),""))</f>
        <v/>
      </c>
      <c r="V190" s="5" t="str">
        <f>IF($A190="","",IFERROR(SUBSTITUTE(VLOOKUP($A190,Sheet1!$A:$AN,22,0),"族",""),""))</f>
        <v/>
      </c>
      <c r="W190" s="5" t="str">
        <f>IF($A190="","",IFERROR(VLOOKUP($A190,Sheet1!$A:$AN,23,0),""))</f>
        <v/>
      </c>
      <c r="X190" s="5" t="str">
        <f>IF($A190="","",IFERROR(VLOOKUP($A190,Sheet1!$A:$AN,24,0),""))</f>
        <v/>
      </c>
      <c r="Y190" s="5" t="str">
        <f>IF($A190="","",IFERROR(VLOOKUP($A190,Sheet1!$A:$AN,25,0),""))</f>
        <v/>
      </c>
      <c r="AK190" s="5" t="str">
        <f>IF($A190="","",IFERROR(VLOOKUP($A190,Sheet1!$A:$AN,37,0),""))</f>
        <v/>
      </c>
      <c r="AL190" s="13" t="str">
        <f>IF($A190="","",IFERROR(VLOOKUP($A190,Sheet1!$A:$AN,38,0),""))</f>
        <v/>
      </c>
      <c r="AM190" s="13" t="str">
        <f>IF($A190="","",IFERROR(VLOOKUP($A190,Sheet1!$A:$AN,39,0),""))</f>
        <v/>
      </c>
      <c r="AN190" s="13" t="str">
        <f>IF($A190="","",IFERROR(VLOOKUP($A190,Sheet1!$A:$AN,40,0),""))</f>
        <v/>
      </c>
    </row>
    <row r="191" customHeight="1" spans="1:40">
      <c r="A191" s="5" t="str">
        <f>IF(Sheet1!$A191="","",Sheet1!$A191)</f>
        <v/>
      </c>
      <c r="B191" s="5" t="str">
        <f t="shared" si="10"/>
        <v/>
      </c>
      <c r="C191" s="5" t="str">
        <f>IF($A191="","",IFERROR(VLOOKUP($A191,Sheet1!$A:$AN,3,0),""))</f>
        <v/>
      </c>
      <c r="D191" s="5" t="str">
        <f t="shared" si="11"/>
        <v/>
      </c>
      <c r="I191" s="5" t="str">
        <f t="shared" si="12"/>
        <v/>
      </c>
      <c r="M191" s="5" t="str">
        <f t="shared" si="13"/>
        <v/>
      </c>
      <c r="R191" s="5" t="str">
        <f>IF($A191="","",IFERROR(VLOOKUP($A191,Sheet1!A:AN,18,0),""))</f>
        <v/>
      </c>
      <c r="S191" s="5" t="str">
        <f>IF($A191="","",IFERROR(VLOOKUP($A191,Sheet1!$A:$AN,19,0),""))</f>
        <v/>
      </c>
      <c r="T191" s="5" t="str">
        <f t="shared" si="14"/>
        <v/>
      </c>
      <c r="U191" s="5" t="str">
        <f>IF($A191="","",IFERROR(VLOOKUP($A191,Sheet1!$A:$AN,21,0),""))</f>
        <v/>
      </c>
      <c r="V191" s="5" t="str">
        <f>IF($A191="","",IFERROR(SUBSTITUTE(VLOOKUP($A191,Sheet1!$A:$AN,22,0),"族",""),""))</f>
        <v/>
      </c>
      <c r="W191" s="5" t="str">
        <f>IF($A191="","",IFERROR(VLOOKUP($A191,Sheet1!$A:$AN,23,0),""))</f>
        <v/>
      </c>
      <c r="X191" s="5" t="str">
        <f>IF($A191="","",IFERROR(VLOOKUP($A191,Sheet1!$A:$AN,24,0),""))</f>
        <v/>
      </c>
      <c r="Y191" s="5" t="str">
        <f>IF($A191="","",IFERROR(VLOOKUP($A191,Sheet1!$A:$AN,25,0),""))</f>
        <v/>
      </c>
      <c r="AK191" s="5" t="str">
        <f>IF($A191="","",IFERROR(VLOOKUP($A191,Sheet1!$A:$AN,37,0),""))</f>
        <v/>
      </c>
      <c r="AL191" s="13" t="str">
        <f>IF($A191="","",IFERROR(VLOOKUP($A191,Sheet1!$A:$AN,38,0),""))</f>
        <v/>
      </c>
      <c r="AM191" s="13" t="str">
        <f>IF($A191="","",IFERROR(VLOOKUP($A191,Sheet1!$A:$AN,39,0),""))</f>
        <v/>
      </c>
      <c r="AN191" s="13" t="str">
        <f>IF($A191="","",IFERROR(VLOOKUP($A191,Sheet1!$A:$AN,40,0),""))</f>
        <v/>
      </c>
    </row>
    <row r="192" customHeight="1" spans="1:40">
      <c r="A192" s="5" t="str">
        <f>IF(Sheet1!$A192="","",Sheet1!$A192)</f>
        <v/>
      </c>
      <c r="B192" s="5" t="str">
        <f t="shared" si="10"/>
        <v/>
      </c>
      <c r="C192" s="5" t="str">
        <f>IF($A192="","",IFERROR(VLOOKUP($A192,Sheet1!$A:$AN,3,0),""))</f>
        <v/>
      </c>
      <c r="D192" s="5" t="str">
        <f t="shared" si="11"/>
        <v/>
      </c>
      <c r="I192" s="5" t="str">
        <f t="shared" si="12"/>
        <v/>
      </c>
      <c r="M192" s="5" t="str">
        <f t="shared" si="13"/>
        <v/>
      </c>
      <c r="R192" s="5" t="str">
        <f>IF($A192="","",IFERROR(VLOOKUP($A192,Sheet1!A:AN,18,0),""))</f>
        <v/>
      </c>
      <c r="S192" s="5" t="str">
        <f>IF($A192="","",IFERROR(VLOOKUP($A192,Sheet1!$A:$AN,19,0),""))</f>
        <v/>
      </c>
      <c r="T192" s="5" t="str">
        <f t="shared" si="14"/>
        <v/>
      </c>
      <c r="U192" s="5" t="str">
        <f>IF($A192="","",IFERROR(VLOOKUP($A192,Sheet1!$A:$AN,21,0),""))</f>
        <v/>
      </c>
      <c r="V192" s="5" t="str">
        <f>IF($A192="","",IFERROR(SUBSTITUTE(VLOOKUP($A192,Sheet1!$A:$AN,22,0),"族",""),""))</f>
        <v/>
      </c>
      <c r="W192" s="5" t="str">
        <f>IF($A192="","",IFERROR(VLOOKUP($A192,Sheet1!$A:$AN,23,0),""))</f>
        <v/>
      </c>
      <c r="X192" s="5" t="str">
        <f>IF($A192="","",IFERROR(VLOOKUP($A192,Sheet1!$A:$AN,24,0),""))</f>
        <v/>
      </c>
      <c r="Y192" s="5" t="str">
        <f>IF($A192="","",IFERROR(VLOOKUP($A192,Sheet1!$A:$AN,25,0),""))</f>
        <v/>
      </c>
      <c r="AK192" s="5" t="str">
        <f>IF($A192="","",IFERROR(VLOOKUP($A192,Sheet1!$A:$AN,37,0),""))</f>
        <v/>
      </c>
      <c r="AL192" s="13" t="str">
        <f>IF($A192="","",IFERROR(VLOOKUP($A192,Sheet1!$A:$AN,38,0),""))</f>
        <v/>
      </c>
      <c r="AM192" s="13" t="str">
        <f>IF($A192="","",IFERROR(VLOOKUP($A192,Sheet1!$A:$AN,39,0),""))</f>
        <v/>
      </c>
      <c r="AN192" s="13" t="str">
        <f>IF($A192="","",IFERROR(VLOOKUP($A192,Sheet1!$A:$AN,40,0),""))</f>
        <v/>
      </c>
    </row>
    <row r="193" customHeight="1" spans="1:40">
      <c r="A193" s="5" t="str">
        <f>IF(Sheet1!$A193="","",Sheet1!$A193)</f>
        <v/>
      </c>
      <c r="B193" s="5" t="str">
        <f t="shared" si="10"/>
        <v/>
      </c>
      <c r="C193" s="5" t="str">
        <f>IF($A193="","",IFERROR(VLOOKUP($A193,Sheet1!$A:$AN,3,0),""))</f>
        <v/>
      </c>
      <c r="D193" s="5" t="str">
        <f t="shared" si="11"/>
        <v/>
      </c>
      <c r="I193" s="5" t="str">
        <f t="shared" si="12"/>
        <v/>
      </c>
      <c r="M193" s="5" t="str">
        <f t="shared" si="13"/>
        <v/>
      </c>
      <c r="R193" s="5" t="str">
        <f>IF($A193="","",IFERROR(VLOOKUP($A193,Sheet1!A:AN,18,0),""))</f>
        <v/>
      </c>
      <c r="S193" s="5" t="str">
        <f>IF($A193="","",IFERROR(VLOOKUP($A193,Sheet1!$A:$AN,19,0),""))</f>
        <v/>
      </c>
      <c r="T193" s="5" t="str">
        <f t="shared" si="14"/>
        <v/>
      </c>
      <c r="U193" s="5" t="str">
        <f>IF($A193="","",IFERROR(VLOOKUP($A193,Sheet1!$A:$AN,21,0),""))</f>
        <v/>
      </c>
      <c r="V193" s="5" t="str">
        <f>IF($A193="","",IFERROR(SUBSTITUTE(VLOOKUP($A193,Sheet1!$A:$AN,22,0),"族",""),""))</f>
        <v/>
      </c>
      <c r="W193" s="5" t="str">
        <f>IF($A193="","",IFERROR(VLOOKUP($A193,Sheet1!$A:$AN,23,0),""))</f>
        <v/>
      </c>
      <c r="X193" s="5" t="str">
        <f>IF($A193="","",IFERROR(VLOOKUP($A193,Sheet1!$A:$AN,24,0),""))</f>
        <v/>
      </c>
      <c r="Y193" s="5" t="str">
        <f>IF($A193="","",IFERROR(VLOOKUP($A193,Sheet1!$A:$AN,25,0),""))</f>
        <v/>
      </c>
      <c r="AK193" s="5" t="str">
        <f>IF($A193="","",IFERROR(VLOOKUP($A193,Sheet1!$A:$AN,37,0),""))</f>
        <v/>
      </c>
      <c r="AL193" s="13" t="str">
        <f>IF($A193="","",IFERROR(VLOOKUP($A193,Sheet1!$A:$AN,38,0),""))</f>
        <v/>
      </c>
      <c r="AM193" s="13" t="str">
        <f>IF($A193="","",IFERROR(VLOOKUP($A193,Sheet1!$A:$AN,39,0),""))</f>
        <v/>
      </c>
      <c r="AN193" s="13" t="str">
        <f>IF($A193="","",IFERROR(VLOOKUP($A193,Sheet1!$A:$AN,40,0),""))</f>
        <v/>
      </c>
    </row>
    <row r="194" customHeight="1" spans="1:40">
      <c r="A194" s="5" t="str">
        <f>IF(Sheet1!$A194="","",Sheet1!$A194)</f>
        <v/>
      </c>
      <c r="B194" s="5" t="str">
        <f t="shared" si="10"/>
        <v/>
      </c>
      <c r="C194" s="5" t="str">
        <f>IF($A194="","",IFERROR(VLOOKUP($A194,Sheet1!$A:$AN,3,0),""))</f>
        <v/>
      </c>
      <c r="D194" s="5" t="str">
        <f t="shared" si="11"/>
        <v/>
      </c>
      <c r="I194" s="5" t="str">
        <f t="shared" si="12"/>
        <v/>
      </c>
      <c r="M194" s="5" t="str">
        <f t="shared" si="13"/>
        <v/>
      </c>
      <c r="R194" s="5" t="str">
        <f>IF($A194="","",IFERROR(VLOOKUP($A194,Sheet1!A:AN,18,0),""))</f>
        <v/>
      </c>
      <c r="S194" s="5" t="str">
        <f>IF($A194="","",IFERROR(VLOOKUP($A194,Sheet1!$A:$AN,19,0),""))</f>
        <v/>
      </c>
      <c r="T194" s="5" t="str">
        <f t="shared" si="14"/>
        <v/>
      </c>
      <c r="U194" s="5" t="str">
        <f>IF($A194="","",IFERROR(VLOOKUP($A194,Sheet1!$A:$AN,21,0),""))</f>
        <v/>
      </c>
      <c r="V194" s="5" t="str">
        <f>IF($A194="","",IFERROR(SUBSTITUTE(VLOOKUP($A194,Sheet1!$A:$AN,22,0),"族",""),""))</f>
        <v/>
      </c>
      <c r="W194" s="5" t="str">
        <f>IF($A194="","",IFERROR(VLOOKUP($A194,Sheet1!$A:$AN,23,0),""))</f>
        <v/>
      </c>
      <c r="X194" s="5" t="str">
        <f>IF($A194="","",IFERROR(VLOOKUP($A194,Sheet1!$A:$AN,24,0),""))</f>
        <v/>
      </c>
      <c r="Y194" s="5" t="str">
        <f>IF($A194="","",IFERROR(VLOOKUP($A194,Sheet1!$A:$AN,25,0),""))</f>
        <v/>
      </c>
      <c r="AK194" s="5" t="str">
        <f>IF($A194="","",IFERROR(VLOOKUP($A194,Sheet1!$A:$AN,37,0),""))</f>
        <v/>
      </c>
      <c r="AL194" s="13" t="str">
        <f>IF($A194="","",IFERROR(VLOOKUP($A194,Sheet1!$A:$AN,38,0),""))</f>
        <v/>
      </c>
      <c r="AM194" s="13" t="str">
        <f>IF($A194="","",IFERROR(VLOOKUP($A194,Sheet1!$A:$AN,39,0),""))</f>
        <v/>
      </c>
      <c r="AN194" s="13" t="str">
        <f>IF($A194="","",IFERROR(VLOOKUP($A194,Sheet1!$A:$AN,40,0),""))</f>
        <v/>
      </c>
    </row>
    <row r="195" customHeight="1" spans="1:40">
      <c r="A195" s="5" t="str">
        <f>IF(Sheet1!$A195="","",Sheet1!$A195)</f>
        <v/>
      </c>
      <c r="B195" s="5" t="str">
        <f t="shared" ref="B195:B258" si="15">IF($A195="","","企业")</f>
        <v/>
      </c>
      <c r="C195" s="5" t="str">
        <f>IF($A195="","",IFERROR(VLOOKUP($A195,Sheet1!$A:$AN,3,0),""))</f>
        <v/>
      </c>
      <c r="D195" s="5" t="str">
        <f t="shared" ref="D195:D258" si="16">IF($C195="","","营业执照")</f>
        <v/>
      </c>
      <c r="I195" s="5" t="str">
        <f t="shared" ref="I195:I258" si="17">IF($C195="","","身份证")</f>
        <v/>
      </c>
      <c r="M195" s="5" t="str">
        <f t="shared" ref="M195:M258" si="18">IF($C195="","","自然人")</f>
        <v/>
      </c>
      <c r="R195" s="5" t="str">
        <f>IF($A195="","",IFERROR(VLOOKUP($A195,Sheet1!A:AN,18,0),""))</f>
        <v/>
      </c>
      <c r="S195" s="5" t="str">
        <f>IF($A195="","",IFERROR(VLOOKUP($A195,Sheet1!$A:$AN,19,0),""))</f>
        <v/>
      </c>
      <c r="T195" s="5" t="str">
        <f t="shared" ref="T195:T258" si="19">IF($S195="","","身份证")</f>
        <v/>
      </c>
      <c r="U195" s="5" t="str">
        <f>IF($A195="","",IFERROR(VLOOKUP($A195,Sheet1!$A:$AN,21,0),""))</f>
        <v/>
      </c>
      <c r="V195" s="5" t="str">
        <f>IF($A195="","",IFERROR(SUBSTITUTE(VLOOKUP($A195,Sheet1!$A:$AN,22,0),"族",""),""))</f>
        <v/>
      </c>
      <c r="W195" s="5" t="str">
        <f>IF($A195="","",IFERROR(VLOOKUP($A195,Sheet1!$A:$AN,23,0),""))</f>
        <v/>
      </c>
      <c r="X195" s="5" t="str">
        <f>IF($A195="","",IFERROR(VLOOKUP($A195,Sheet1!$A:$AN,24,0),""))</f>
        <v/>
      </c>
      <c r="Y195" s="5" t="str">
        <f>IF($A195="","",IFERROR(VLOOKUP($A195,Sheet1!$A:$AN,25,0),""))</f>
        <v/>
      </c>
      <c r="AK195" s="5" t="str">
        <f>IF($A195="","",IFERROR(VLOOKUP($A195,Sheet1!$A:$AN,37,0),""))</f>
        <v/>
      </c>
      <c r="AL195" s="13" t="str">
        <f>IF($A195="","",IFERROR(VLOOKUP($A195,Sheet1!$A:$AN,38,0),""))</f>
        <v/>
      </c>
      <c r="AM195" s="13" t="str">
        <f>IF($A195="","",IFERROR(VLOOKUP($A195,Sheet1!$A:$AN,39,0),""))</f>
        <v/>
      </c>
      <c r="AN195" s="13" t="str">
        <f>IF($A195="","",IFERROR(VLOOKUP($A195,Sheet1!$A:$AN,40,0),""))</f>
        <v/>
      </c>
    </row>
    <row r="196" customHeight="1" spans="1:40">
      <c r="A196" s="5" t="str">
        <f>IF(Sheet1!$A196="","",Sheet1!$A196)</f>
        <v/>
      </c>
      <c r="B196" s="5" t="str">
        <f t="shared" si="15"/>
        <v/>
      </c>
      <c r="C196" s="5" t="str">
        <f>IF($A196="","",IFERROR(VLOOKUP($A196,Sheet1!$A:$AN,3,0),""))</f>
        <v/>
      </c>
      <c r="D196" s="5" t="str">
        <f t="shared" si="16"/>
        <v/>
      </c>
      <c r="I196" s="5" t="str">
        <f t="shared" si="17"/>
        <v/>
      </c>
      <c r="M196" s="5" t="str">
        <f t="shared" si="18"/>
        <v/>
      </c>
      <c r="R196" s="5" t="str">
        <f>IF($A196="","",IFERROR(VLOOKUP($A196,Sheet1!A:AN,18,0),""))</f>
        <v/>
      </c>
      <c r="S196" s="5" t="str">
        <f>IF($A196="","",IFERROR(VLOOKUP($A196,Sheet1!$A:$AN,19,0),""))</f>
        <v/>
      </c>
      <c r="T196" s="5" t="str">
        <f t="shared" si="19"/>
        <v/>
      </c>
      <c r="U196" s="5" t="str">
        <f>IF($A196="","",IFERROR(VLOOKUP($A196,Sheet1!$A:$AN,21,0),""))</f>
        <v/>
      </c>
      <c r="V196" s="5" t="str">
        <f>IF($A196="","",IFERROR(SUBSTITUTE(VLOOKUP($A196,Sheet1!$A:$AN,22,0),"族",""),""))</f>
        <v/>
      </c>
      <c r="W196" s="5" t="str">
        <f>IF($A196="","",IFERROR(VLOOKUP($A196,Sheet1!$A:$AN,23,0),""))</f>
        <v/>
      </c>
      <c r="X196" s="5" t="str">
        <f>IF($A196="","",IFERROR(VLOOKUP($A196,Sheet1!$A:$AN,24,0),""))</f>
        <v/>
      </c>
      <c r="Y196" s="5" t="str">
        <f>IF($A196="","",IFERROR(VLOOKUP($A196,Sheet1!$A:$AN,25,0),""))</f>
        <v/>
      </c>
      <c r="AK196" s="5" t="str">
        <f>IF($A196="","",IFERROR(VLOOKUP($A196,Sheet1!$A:$AN,37,0),""))</f>
        <v/>
      </c>
      <c r="AL196" s="13" t="str">
        <f>IF($A196="","",IFERROR(VLOOKUP($A196,Sheet1!$A:$AN,38,0),""))</f>
        <v/>
      </c>
      <c r="AM196" s="13" t="str">
        <f>IF($A196="","",IFERROR(VLOOKUP($A196,Sheet1!$A:$AN,39,0),""))</f>
        <v/>
      </c>
      <c r="AN196" s="13" t="str">
        <f>IF($A196="","",IFERROR(VLOOKUP($A196,Sheet1!$A:$AN,40,0),""))</f>
        <v/>
      </c>
    </row>
    <row r="197" customHeight="1" spans="1:40">
      <c r="A197" s="5" t="str">
        <f>IF(Sheet1!$A197="","",Sheet1!$A197)</f>
        <v/>
      </c>
      <c r="B197" s="5" t="str">
        <f t="shared" si="15"/>
        <v/>
      </c>
      <c r="C197" s="5" t="str">
        <f>IF($A197="","",IFERROR(VLOOKUP($A197,Sheet1!$A:$AN,3,0),""))</f>
        <v/>
      </c>
      <c r="D197" s="5" t="str">
        <f t="shared" si="16"/>
        <v/>
      </c>
      <c r="I197" s="5" t="str">
        <f t="shared" si="17"/>
        <v/>
      </c>
      <c r="M197" s="5" t="str">
        <f t="shared" si="18"/>
        <v/>
      </c>
      <c r="R197" s="5" t="str">
        <f>IF($A197="","",IFERROR(VLOOKUP($A197,Sheet1!A:AN,18,0),""))</f>
        <v/>
      </c>
      <c r="S197" s="5" t="str">
        <f>IF($A197="","",IFERROR(VLOOKUP($A197,Sheet1!$A:$AN,19,0),""))</f>
        <v/>
      </c>
      <c r="T197" s="5" t="str">
        <f t="shared" si="19"/>
        <v/>
      </c>
      <c r="U197" s="5" t="str">
        <f>IF($A197="","",IFERROR(VLOOKUP($A197,Sheet1!$A:$AN,21,0),""))</f>
        <v/>
      </c>
      <c r="V197" s="5" t="str">
        <f>IF($A197="","",IFERROR(SUBSTITUTE(VLOOKUP($A197,Sheet1!$A:$AN,22,0),"族",""),""))</f>
        <v/>
      </c>
      <c r="W197" s="5" t="str">
        <f>IF($A197="","",IFERROR(VLOOKUP($A197,Sheet1!$A:$AN,23,0),""))</f>
        <v/>
      </c>
      <c r="X197" s="5" t="str">
        <f>IF($A197="","",IFERROR(VLOOKUP($A197,Sheet1!$A:$AN,24,0),""))</f>
        <v/>
      </c>
      <c r="Y197" s="5" t="str">
        <f>IF($A197="","",IFERROR(VLOOKUP($A197,Sheet1!$A:$AN,25,0),""))</f>
        <v/>
      </c>
      <c r="AK197" s="5" t="str">
        <f>IF($A197="","",IFERROR(VLOOKUP($A197,Sheet1!$A:$AN,37,0),""))</f>
        <v/>
      </c>
      <c r="AL197" s="13" t="str">
        <f>IF($A197="","",IFERROR(VLOOKUP($A197,Sheet1!$A:$AN,38,0),""))</f>
        <v/>
      </c>
      <c r="AM197" s="13" t="str">
        <f>IF($A197="","",IFERROR(VLOOKUP($A197,Sheet1!$A:$AN,39,0),""))</f>
        <v/>
      </c>
      <c r="AN197" s="13" t="str">
        <f>IF($A197="","",IFERROR(VLOOKUP($A197,Sheet1!$A:$AN,40,0),""))</f>
        <v/>
      </c>
    </row>
    <row r="198" customHeight="1" spans="1:40">
      <c r="A198" s="5" t="str">
        <f>IF(Sheet1!$A198="","",Sheet1!$A198)</f>
        <v/>
      </c>
      <c r="B198" s="5" t="str">
        <f t="shared" si="15"/>
        <v/>
      </c>
      <c r="C198" s="5" t="str">
        <f>IF($A198="","",IFERROR(VLOOKUP($A198,Sheet1!$A:$AN,3,0),""))</f>
        <v/>
      </c>
      <c r="D198" s="5" t="str">
        <f t="shared" si="16"/>
        <v/>
      </c>
      <c r="I198" s="5" t="str">
        <f t="shared" si="17"/>
        <v/>
      </c>
      <c r="M198" s="5" t="str">
        <f t="shared" si="18"/>
        <v/>
      </c>
      <c r="R198" s="5" t="str">
        <f>IF($A198="","",IFERROR(VLOOKUP($A198,Sheet1!A:AN,18,0),""))</f>
        <v/>
      </c>
      <c r="S198" s="5" t="str">
        <f>IF($A198="","",IFERROR(VLOOKUP($A198,Sheet1!$A:$AN,19,0),""))</f>
        <v/>
      </c>
      <c r="T198" s="5" t="str">
        <f t="shared" si="19"/>
        <v/>
      </c>
      <c r="U198" s="5" t="str">
        <f>IF($A198="","",IFERROR(VLOOKUP($A198,Sheet1!$A:$AN,21,0),""))</f>
        <v/>
      </c>
      <c r="V198" s="5" t="str">
        <f>IF($A198="","",IFERROR(SUBSTITUTE(VLOOKUP($A198,Sheet1!$A:$AN,22,0),"族",""),""))</f>
        <v/>
      </c>
      <c r="W198" s="5" t="str">
        <f>IF($A198="","",IFERROR(VLOOKUP($A198,Sheet1!$A:$AN,23,0),""))</f>
        <v/>
      </c>
      <c r="X198" s="5" t="str">
        <f>IF($A198="","",IFERROR(VLOOKUP($A198,Sheet1!$A:$AN,24,0),""))</f>
        <v/>
      </c>
      <c r="Y198" s="5" t="str">
        <f>IF($A198="","",IFERROR(VLOOKUP($A198,Sheet1!$A:$AN,25,0),""))</f>
        <v/>
      </c>
      <c r="AK198" s="5" t="str">
        <f>IF($A198="","",IFERROR(VLOOKUP($A198,Sheet1!$A:$AN,37,0),""))</f>
        <v/>
      </c>
      <c r="AL198" s="13" t="str">
        <f>IF($A198="","",IFERROR(VLOOKUP($A198,Sheet1!$A:$AN,38,0),""))</f>
        <v/>
      </c>
      <c r="AM198" s="13" t="str">
        <f>IF($A198="","",IFERROR(VLOOKUP($A198,Sheet1!$A:$AN,39,0),""))</f>
        <v/>
      </c>
      <c r="AN198" s="13" t="str">
        <f>IF($A198="","",IFERROR(VLOOKUP($A198,Sheet1!$A:$AN,40,0),""))</f>
        <v/>
      </c>
    </row>
    <row r="199" customHeight="1" spans="1:40">
      <c r="A199" s="5" t="str">
        <f>IF(Sheet1!$A199="","",Sheet1!$A199)</f>
        <v/>
      </c>
      <c r="B199" s="5" t="str">
        <f t="shared" si="15"/>
        <v/>
      </c>
      <c r="C199" s="5" t="str">
        <f>IF($A199="","",IFERROR(VLOOKUP($A199,Sheet1!$A:$AN,3,0),""))</f>
        <v/>
      </c>
      <c r="D199" s="5" t="str">
        <f t="shared" si="16"/>
        <v/>
      </c>
      <c r="I199" s="5" t="str">
        <f t="shared" si="17"/>
        <v/>
      </c>
      <c r="M199" s="5" t="str">
        <f t="shared" si="18"/>
        <v/>
      </c>
      <c r="R199" s="5" t="str">
        <f>IF($A199="","",IFERROR(VLOOKUP($A199,Sheet1!A:AN,18,0),""))</f>
        <v/>
      </c>
      <c r="S199" s="5" t="str">
        <f>IF($A199="","",IFERROR(VLOOKUP($A199,Sheet1!$A:$AN,19,0),""))</f>
        <v/>
      </c>
      <c r="T199" s="5" t="str">
        <f t="shared" si="19"/>
        <v/>
      </c>
      <c r="U199" s="5" t="str">
        <f>IF($A199="","",IFERROR(VLOOKUP($A199,Sheet1!$A:$AN,21,0),""))</f>
        <v/>
      </c>
      <c r="V199" s="5" t="str">
        <f>IF($A199="","",IFERROR(SUBSTITUTE(VLOOKUP($A199,Sheet1!$A:$AN,22,0),"族",""),""))</f>
        <v/>
      </c>
      <c r="W199" s="5" t="str">
        <f>IF($A199="","",IFERROR(VLOOKUP($A199,Sheet1!$A:$AN,23,0),""))</f>
        <v/>
      </c>
      <c r="X199" s="5" t="str">
        <f>IF($A199="","",IFERROR(VLOOKUP($A199,Sheet1!$A:$AN,24,0),""))</f>
        <v/>
      </c>
      <c r="Y199" s="5" t="str">
        <f>IF($A199="","",IFERROR(VLOOKUP($A199,Sheet1!$A:$AN,25,0),""))</f>
        <v/>
      </c>
      <c r="AK199" s="5" t="str">
        <f>IF($A199="","",IFERROR(VLOOKUP($A199,Sheet1!$A:$AN,37,0),""))</f>
        <v/>
      </c>
      <c r="AL199" s="13" t="str">
        <f>IF($A199="","",IFERROR(VLOOKUP($A199,Sheet1!$A:$AN,38,0),""))</f>
        <v/>
      </c>
      <c r="AM199" s="13" t="str">
        <f>IF($A199="","",IFERROR(VLOOKUP($A199,Sheet1!$A:$AN,39,0),""))</f>
        <v/>
      </c>
      <c r="AN199" s="13" t="str">
        <f>IF($A199="","",IFERROR(VLOOKUP($A199,Sheet1!$A:$AN,40,0),""))</f>
        <v/>
      </c>
    </row>
    <row r="200" customHeight="1" spans="1:40">
      <c r="A200" s="5" t="str">
        <f>IF(Sheet1!$A200="","",Sheet1!$A200)</f>
        <v/>
      </c>
      <c r="B200" s="5" t="str">
        <f t="shared" si="15"/>
        <v/>
      </c>
      <c r="C200" s="5" t="str">
        <f>IF($A200="","",IFERROR(VLOOKUP($A200,Sheet1!$A:$AN,3,0),""))</f>
        <v/>
      </c>
      <c r="D200" s="5" t="str">
        <f t="shared" si="16"/>
        <v/>
      </c>
      <c r="I200" s="5" t="str">
        <f t="shared" si="17"/>
        <v/>
      </c>
      <c r="M200" s="5" t="str">
        <f t="shared" si="18"/>
        <v/>
      </c>
      <c r="R200" s="5" t="str">
        <f>IF($A200="","",IFERROR(VLOOKUP($A200,Sheet1!A:AN,18,0),""))</f>
        <v/>
      </c>
      <c r="S200" s="5" t="str">
        <f>IF($A200="","",IFERROR(VLOOKUP($A200,Sheet1!$A:$AN,19,0),""))</f>
        <v/>
      </c>
      <c r="T200" s="5" t="str">
        <f t="shared" si="19"/>
        <v/>
      </c>
      <c r="U200" s="5" t="str">
        <f>IF($A200="","",IFERROR(VLOOKUP($A200,Sheet1!$A:$AN,21,0),""))</f>
        <v/>
      </c>
      <c r="V200" s="5" t="str">
        <f>IF($A200="","",IFERROR(SUBSTITUTE(VLOOKUP($A200,Sheet1!$A:$AN,22,0),"族",""),""))</f>
        <v/>
      </c>
      <c r="W200" s="5" t="str">
        <f>IF($A200="","",IFERROR(VLOOKUP($A200,Sheet1!$A:$AN,23,0),""))</f>
        <v/>
      </c>
      <c r="X200" s="5" t="str">
        <f>IF($A200="","",IFERROR(VLOOKUP($A200,Sheet1!$A:$AN,24,0),""))</f>
        <v/>
      </c>
      <c r="Y200" s="5" t="str">
        <f>IF($A200="","",IFERROR(VLOOKUP($A200,Sheet1!$A:$AN,25,0),""))</f>
        <v/>
      </c>
      <c r="AK200" s="5" t="str">
        <f>IF($A200="","",IFERROR(VLOOKUP($A200,Sheet1!$A:$AN,37,0),""))</f>
        <v/>
      </c>
      <c r="AL200" s="13" t="str">
        <f>IF($A200="","",IFERROR(VLOOKUP($A200,Sheet1!$A:$AN,38,0),""))</f>
        <v/>
      </c>
      <c r="AM200" s="13" t="str">
        <f>IF($A200="","",IFERROR(VLOOKUP($A200,Sheet1!$A:$AN,39,0),""))</f>
        <v/>
      </c>
      <c r="AN200" s="13" t="str">
        <f>IF($A200="","",IFERROR(VLOOKUP($A200,Sheet1!$A:$AN,40,0),""))</f>
        <v/>
      </c>
    </row>
    <row r="201" customHeight="1" spans="1:40">
      <c r="A201" s="5" t="str">
        <f>IF(Sheet1!$A201="","",Sheet1!$A201)</f>
        <v/>
      </c>
      <c r="B201" s="5" t="str">
        <f t="shared" si="15"/>
        <v/>
      </c>
      <c r="C201" s="5" t="str">
        <f>IF($A201="","",IFERROR(VLOOKUP($A201,Sheet1!$A:$AN,3,0),""))</f>
        <v/>
      </c>
      <c r="D201" s="5" t="str">
        <f t="shared" si="16"/>
        <v/>
      </c>
      <c r="I201" s="5" t="str">
        <f t="shared" si="17"/>
        <v/>
      </c>
      <c r="M201" s="5" t="str">
        <f t="shared" si="18"/>
        <v/>
      </c>
      <c r="R201" s="5" t="str">
        <f>IF($A201="","",IFERROR(VLOOKUP($A201,Sheet1!A:AN,18,0),""))</f>
        <v/>
      </c>
      <c r="S201" s="5" t="str">
        <f>IF($A201="","",IFERROR(VLOOKUP($A201,Sheet1!$A:$AN,19,0),""))</f>
        <v/>
      </c>
      <c r="T201" s="5" t="str">
        <f t="shared" si="19"/>
        <v/>
      </c>
      <c r="U201" s="5" t="str">
        <f>IF($A201="","",IFERROR(VLOOKUP($A201,Sheet1!$A:$AN,21,0),""))</f>
        <v/>
      </c>
      <c r="V201" s="5" t="str">
        <f>IF($A201="","",IFERROR(SUBSTITUTE(VLOOKUP($A201,Sheet1!$A:$AN,22,0),"族",""),""))</f>
        <v/>
      </c>
      <c r="W201" s="5" t="str">
        <f>IF($A201="","",IFERROR(VLOOKUP($A201,Sheet1!$A:$AN,23,0),""))</f>
        <v/>
      </c>
      <c r="X201" s="5" t="str">
        <f>IF($A201="","",IFERROR(VLOOKUP($A201,Sheet1!$A:$AN,24,0),""))</f>
        <v/>
      </c>
      <c r="Y201" s="5" t="str">
        <f>IF($A201="","",IFERROR(VLOOKUP($A201,Sheet1!$A:$AN,25,0),""))</f>
        <v/>
      </c>
      <c r="AK201" s="5" t="str">
        <f>IF($A201="","",IFERROR(VLOOKUP($A201,Sheet1!$A:$AN,37,0),""))</f>
        <v/>
      </c>
      <c r="AL201" s="13" t="str">
        <f>IF($A201="","",IFERROR(VLOOKUP($A201,Sheet1!$A:$AN,38,0),""))</f>
        <v/>
      </c>
      <c r="AM201" s="13" t="str">
        <f>IF($A201="","",IFERROR(VLOOKUP($A201,Sheet1!$A:$AN,39,0),""))</f>
        <v/>
      </c>
      <c r="AN201" s="13" t="str">
        <f>IF($A201="","",IFERROR(VLOOKUP($A201,Sheet1!$A:$AN,40,0),""))</f>
        <v/>
      </c>
    </row>
    <row r="202" customHeight="1" spans="1:40">
      <c r="A202" s="5" t="str">
        <f>IF(Sheet1!$A202="","",Sheet1!$A202)</f>
        <v/>
      </c>
      <c r="B202" s="5" t="str">
        <f t="shared" si="15"/>
        <v/>
      </c>
      <c r="C202" s="5" t="str">
        <f>IF($A202="","",IFERROR(VLOOKUP($A202,Sheet1!$A:$AN,3,0),""))</f>
        <v/>
      </c>
      <c r="D202" s="5" t="str">
        <f t="shared" si="16"/>
        <v/>
      </c>
      <c r="I202" s="5" t="str">
        <f t="shared" si="17"/>
        <v/>
      </c>
      <c r="M202" s="5" t="str">
        <f t="shared" si="18"/>
        <v/>
      </c>
      <c r="R202" s="5" t="str">
        <f>IF($A202="","",IFERROR(VLOOKUP($A202,Sheet1!A:AN,18,0),""))</f>
        <v/>
      </c>
      <c r="S202" s="5" t="str">
        <f>IF($A202="","",IFERROR(VLOOKUP($A202,Sheet1!$A:$AN,19,0),""))</f>
        <v/>
      </c>
      <c r="T202" s="5" t="str">
        <f t="shared" si="19"/>
        <v/>
      </c>
      <c r="U202" s="5" t="str">
        <f>IF($A202="","",IFERROR(VLOOKUP($A202,Sheet1!$A:$AN,21,0),""))</f>
        <v/>
      </c>
      <c r="V202" s="5" t="str">
        <f>IF($A202="","",IFERROR(SUBSTITUTE(VLOOKUP($A202,Sheet1!$A:$AN,22,0),"族",""),""))</f>
        <v/>
      </c>
      <c r="W202" s="5" t="str">
        <f>IF($A202="","",IFERROR(VLOOKUP($A202,Sheet1!$A:$AN,23,0),""))</f>
        <v/>
      </c>
      <c r="X202" s="5" t="str">
        <f>IF($A202="","",IFERROR(VLOOKUP($A202,Sheet1!$A:$AN,24,0),""))</f>
        <v/>
      </c>
      <c r="Y202" s="5" t="str">
        <f>IF($A202="","",IFERROR(VLOOKUP($A202,Sheet1!$A:$AN,25,0),""))</f>
        <v/>
      </c>
      <c r="AK202" s="5" t="str">
        <f>IF($A202="","",IFERROR(VLOOKUP($A202,Sheet1!$A:$AN,37,0),""))</f>
        <v/>
      </c>
      <c r="AL202" s="13" t="str">
        <f>IF($A202="","",IFERROR(VLOOKUP($A202,Sheet1!$A:$AN,38,0),""))</f>
        <v/>
      </c>
      <c r="AM202" s="13" t="str">
        <f>IF($A202="","",IFERROR(VLOOKUP($A202,Sheet1!$A:$AN,39,0),""))</f>
        <v/>
      </c>
      <c r="AN202" s="13" t="str">
        <f>IF($A202="","",IFERROR(VLOOKUP($A202,Sheet1!$A:$AN,40,0),""))</f>
        <v/>
      </c>
    </row>
    <row r="203" customHeight="1" spans="1:40">
      <c r="A203" s="5" t="str">
        <f>IF(Sheet1!$A203="","",Sheet1!$A203)</f>
        <v/>
      </c>
      <c r="B203" s="5" t="str">
        <f t="shared" si="15"/>
        <v/>
      </c>
      <c r="C203" s="5" t="str">
        <f>IF($A203="","",IFERROR(VLOOKUP($A203,Sheet1!$A:$AN,3,0),""))</f>
        <v/>
      </c>
      <c r="D203" s="5" t="str">
        <f t="shared" si="16"/>
        <v/>
      </c>
      <c r="I203" s="5" t="str">
        <f t="shared" si="17"/>
        <v/>
      </c>
      <c r="M203" s="5" t="str">
        <f t="shared" si="18"/>
        <v/>
      </c>
      <c r="R203" s="5" t="str">
        <f>IF($A203="","",IFERROR(VLOOKUP($A203,Sheet1!A:AN,18,0),""))</f>
        <v/>
      </c>
      <c r="S203" s="5" t="str">
        <f>IF($A203="","",IFERROR(VLOOKUP($A203,Sheet1!$A:$AN,19,0),""))</f>
        <v/>
      </c>
      <c r="T203" s="5" t="str">
        <f t="shared" si="19"/>
        <v/>
      </c>
      <c r="U203" s="5" t="str">
        <f>IF($A203="","",IFERROR(VLOOKUP($A203,Sheet1!$A:$AN,21,0),""))</f>
        <v/>
      </c>
      <c r="V203" s="5" t="str">
        <f>IF($A203="","",IFERROR(SUBSTITUTE(VLOOKUP($A203,Sheet1!$A:$AN,22,0),"族",""),""))</f>
        <v/>
      </c>
      <c r="W203" s="5" t="str">
        <f>IF($A203="","",IFERROR(VLOOKUP($A203,Sheet1!$A:$AN,23,0),""))</f>
        <v/>
      </c>
      <c r="X203" s="5" t="str">
        <f>IF($A203="","",IFERROR(VLOOKUP($A203,Sheet1!$A:$AN,24,0),""))</f>
        <v/>
      </c>
      <c r="Y203" s="5" t="str">
        <f>IF($A203="","",IFERROR(VLOOKUP($A203,Sheet1!$A:$AN,25,0),""))</f>
        <v/>
      </c>
      <c r="AK203" s="5" t="str">
        <f>IF($A203="","",IFERROR(VLOOKUP($A203,Sheet1!$A:$AN,37,0),""))</f>
        <v/>
      </c>
      <c r="AL203" s="13" t="str">
        <f>IF($A203="","",IFERROR(VLOOKUP($A203,Sheet1!$A:$AN,38,0),""))</f>
        <v/>
      </c>
      <c r="AM203" s="13" t="str">
        <f>IF($A203="","",IFERROR(VLOOKUP($A203,Sheet1!$A:$AN,39,0),""))</f>
        <v/>
      </c>
      <c r="AN203" s="13" t="str">
        <f>IF($A203="","",IFERROR(VLOOKUP($A203,Sheet1!$A:$AN,40,0),""))</f>
        <v/>
      </c>
    </row>
    <row r="204" customHeight="1" spans="1:40">
      <c r="A204" s="5" t="str">
        <f>IF(Sheet1!$A204="","",Sheet1!$A204)</f>
        <v/>
      </c>
      <c r="B204" s="5" t="str">
        <f t="shared" si="15"/>
        <v/>
      </c>
      <c r="C204" s="5" t="str">
        <f>IF($A204="","",IFERROR(VLOOKUP($A204,Sheet1!$A:$AN,3,0),""))</f>
        <v/>
      </c>
      <c r="D204" s="5" t="str">
        <f t="shared" si="16"/>
        <v/>
      </c>
      <c r="I204" s="5" t="str">
        <f t="shared" si="17"/>
        <v/>
      </c>
      <c r="M204" s="5" t="str">
        <f t="shared" si="18"/>
        <v/>
      </c>
      <c r="R204" s="5" t="str">
        <f>IF($A204="","",IFERROR(VLOOKUP($A204,Sheet1!A:AN,18,0),""))</f>
        <v/>
      </c>
      <c r="S204" s="5" t="str">
        <f>IF($A204="","",IFERROR(VLOOKUP($A204,Sheet1!$A:$AN,19,0),""))</f>
        <v/>
      </c>
      <c r="T204" s="5" t="str">
        <f t="shared" si="19"/>
        <v/>
      </c>
      <c r="U204" s="5" t="str">
        <f>IF($A204="","",IFERROR(VLOOKUP($A204,Sheet1!$A:$AN,21,0),""))</f>
        <v/>
      </c>
      <c r="V204" s="5" t="str">
        <f>IF($A204="","",IFERROR(SUBSTITUTE(VLOOKUP($A204,Sheet1!$A:$AN,22,0),"族",""),""))</f>
        <v/>
      </c>
      <c r="W204" s="5" t="str">
        <f>IF($A204="","",IFERROR(VLOOKUP($A204,Sheet1!$A:$AN,23,0),""))</f>
        <v/>
      </c>
      <c r="X204" s="5" t="str">
        <f>IF($A204="","",IFERROR(VLOOKUP($A204,Sheet1!$A:$AN,24,0),""))</f>
        <v/>
      </c>
      <c r="Y204" s="5" t="str">
        <f>IF($A204="","",IFERROR(VLOOKUP($A204,Sheet1!$A:$AN,25,0),""))</f>
        <v/>
      </c>
      <c r="AK204" s="5" t="str">
        <f>IF($A204="","",IFERROR(VLOOKUP($A204,Sheet1!$A:$AN,37,0),""))</f>
        <v/>
      </c>
      <c r="AL204" s="13" t="str">
        <f>IF($A204="","",IFERROR(VLOOKUP($A204,Sheet1!$A:$AN,38,0),""))</f>
        <v/>
      </c>
      <c r="AM204" s="13" t="str">
        <f>IF($A204="","",IFERROR(VLOOKUP($A204,Sheet1!$A:$AN,39,0),""))</f>
        <v/>
      </c>
      <c r="AN204" s="13" t="str">
        <f>IF($A204="","",IFERROR(VLOOKUP($A204,Sheet1!$A:$AN,40,0),""))</f>
        <v/>
      </c>
    </row>
    <row r="205" customHeight="1" spans="1:40">
      <c r="A205" s="5" t="str">
        <f>IF(Sheet1!$A205="","",Sheet1!$A205)</f>
        <v/>
      </c>
      <c r="B205" s="5" t="str">
        <f t="shared" si="15"/>
        <v/>
      </c>
      <c r="C205" s="5" t="str">
        <f>IF($A205="","",IFERROR(VLOOKUP($A205,Sheet1!$A:$AN,3,0),""))</f>
        <v/>
      </c>
      <c r="D205" s="5" t="str">
        <f t="shared" si="16"/>
        <v/>
      </c>
      <c r="I205" s="5" t="str">
        <f t="shared" si="17"/>
        <v/>
      </c>
      <c r="M205" s="5" t="str">
        <f t="shared" si="18"/>
        <v/>
      </c>
      <c r="R205" s="5" t="str">
        <f>IF($A205="","",IFERROR(VLOOKUP($A205,Sheet1!A:AN,18,0),""))</f>
        <v/>
      </c>
      <c r="S205" s="5" t="str">
        <f>IF($A205="","",IFERROR(VLOOKUP($A205,Sheet1!$A:$AN,19,0),""))</f>
        <v/>
      </c>
      <c r="T205" s="5" t="str">
        <f t="shared" si="19"/>
        <v/>
      </c>
      <c r="U205" s="5" t="str">
        <f>IF($A205="","",IFERROR(VLOOKUP($A205,Sheet1!$A:$AN,21,0),""))</f>
        <v/>
      </c>
      <c r="V205" s="5" t="str">
        <f>IF($A205="","",IFERROR(SUBSTITUTE(VLOOKUP($A205,Sheet1!$A:$AN,22,0),"族",""),""))</f>
        <v/>
      </c>
      <c r="W205" s="5" t="str">
        <f>IF($A205="","",IFERROR(VLOOKUP($A205,Sheet1!$A:$AN,23,0),""))</f>
        <v/>
      </c>
      <c r="X205" s="5" t="str">
        <f>IF($A205="","",IFERROR(VLOOKUP($A205,Sheet1!$A:$AN,24,0),""))</f>
        <v/>
      </c>
      <c r="Y205" s="5" t="str">
        <f>IF($A205="","",IFERROR(VLOOKUP($A205,Sheet1!$A:$AN,25,0),""))</f>
        <v/>
      </c>
      <c r="AK205" s="5" t="str">
        <f>IF($A205="","",IFERROR(VLOOKUP($A205,Sheet1!$A:$AN,37,0),""))</f>
        <v/>
      </c>
      <c r="AL205" s="13" t="str">
        <f>IF($A205="","",IFERROR(VLOOKUP($A205,Sheet1!$A:$AN,38,0),""))</f>
        <v/>
      </c>
      <c r="AM205" s="13" t="str">
        <f>IF($A205="","",IFERROR(VLOOKUP($A205,Sheet1!$A:$AN,39,0),""))</f>
        <v/>
      </c>
      <c r="AN205" s="13" t="str">
        <f>IF($A205="","",IFERROR(VLOOKUP($A205,Sheet1!$A:$AN,40,0),""))</f>
        <v/>
      </c>
    </row>
    <row r="206" customHeight="1" spans="1:40">
      <c r="A206" s="5" t="str">
        <f>IF(Sheet1!$A206="","",Sheet1!$A206)</f>
        <v/>
      </c>
      <c r="B206" s="5" t="str">
        <f t="shared" si="15"/>
        <v/>
      </c>
      <c r="C206" s="5" t="str">
        <f>IF($A206="","",IFERROR(VLOOKUP($A206,Sheet1!$A:$AN,3,0),""))</f>
        <v/>
      </c>
      <c r="D206" s="5" t="str">
        <f t="shared" si="16"/>
        <v/>
      </c>
      <c r="I206" s="5" t="str">
        <f t="shared" si="17"/>
        <v/>
      </c>
      <c r="M206" s="5" t="str">
        <f t="shared" si="18"/>
        <v/>
      </c>
      <c r="R206" s="5" t="str">
        <f>IF($A206="","",IFERROR(VLOOKUP($A206,Sheet1!A:AN,18,0),""))</f>
        <v/>
      </c>
      <c r="S206" s="5" t="str">
        <f>IF($A206="","",IFERROR(VLOOKUP($A206,Sheet1!$A:$AN,19,0),""))</f>
        <v/>
      </c>
      <c r="T206" s="5" t="str">
        <f t="shared" si="19"/>
        <v/>
      </c>
      <c r="U206" s="5" t="str">
        <f>IF($A206="","",IFERROR(VLOOKUP($A206,Sheet1!$A:$AN,21,0),""))</f>
        <v/>
      </c>
      <c r="V206" s="5" t="str">
        <f>IF($A206="","",IFERROR(SUBSTITUTE(VLOOKUP($A206,Sheet1!$A:$AN,22,0),"族",""),""))</f>
        <v/>
      </c>
      <c r="W206" s="5" t="str">
        <f>IF($A206="","",IFERROR(VLOOKUP($A206,Sheet1!$A:$AN,23,0),""))</f>
        <v/>
      </c>
      <c r="X206" s="5" t="str">
        <f>IF($A206="","",IFERROR(VLOOKUP($A206,Sheet1!$A:$AN,24,0),""))</f>
        <v/>
      </c>
      <c r="Y206" s="5" t="str">
        <f>IF($A206="","",IFERROR(VLOOKUP($A206,Sheet1!$A:$AN,25,0),""))</f>
        <v/>
      </c>
      <c r="AK206" s="5" t="str">
        <f>IF($A206="","",IFERROR(VLOOKUP($A206,Sheet1!$A:$AN,37,0),""))</f>
        <v/>
      </c>
      <c r="AL206" s="13" t="str">
        <f>IF($A206="","",IFERROR(VLOOKUP($A206,Sheet1!$A:$AN,38,0),""))</f>
        <v/>
      </c>
      <c r="AM206" s="13" t="str">
        <f>IF($A206="","",IFERROR(VLOOKUP($A206,Sheet1!$A:$AN,39,0),""))</f>
        <v/>
      </c>
      <c r="AN206" s="13" t="str">
        <f>IF($A206="","",IFERROR(VLOOKUP($A206,Sheet1!$A:$AN,40,0),""))</f>
        <v/>
      </c>
    </row>
    <row r="207" customHeight="1" spans="1:40">
      <c r="A207" s="5" t="str">
        <f>IF(Sheet1!$A207="","",Sheet1!$A207)</f>
        <v/>
      </c>
      <c r="B207" s="5" t="str">
        <f t="shared" si="15"/>
        <v/>
      </c>
      <c r="C207" s="5" t="str">
        <f>IF($A207="","",IFERROR(VLOOKUP($A207,Sheet1!$A:$AN,3,0),""))</f>
        <v/>
      </c>
      <c r="D207" s="5" t="str">
        <f t="shared" si="16"/>
        <v/>
      </c>
      <c r="I207" s="5" t="str">
        <f t="shared" si="17"/>
        <v/>
      </c>
      <c r="M207" s="5" t="str">
        <f t="shared" si="18"/>
        <v/>
      </c>
      <c r="R207" s="5" t="str">
        <f>IF($A207="","",IFERROR(VLOOKUP($A207,Sheet1!A:AN,18,0),""))</f>
        <v/>
      </c>
      <c r="S207" s="5" t="str">
        <f>IF($A207="","",IFERROR(VLOOKUP($A207,Sheet1!$A:$AN,19,0),""))</f>
        <v/>
      </c>
      <c r="T207" s="5" t="str">
        <f t="shared" si="19"/>
        <v/>
      </c>
      <c r="U207" s="5" t="str">
        <f>IF($A207="","",IFERROR(VLOOKUP($A207,Sheet1!$A:$AN,21,0),""))</f>
        <v/>
      </c>
      <c r="V207" s="5" t="str">
        <f>IF($A207="","",IFERROR(SUBSTITUTE(VLOOKUP($A207,Sheet1!$A:$AN,22,0),"族",""),""))</f>
        <v/>
      </c>
      <c r="W207" s="5" t="str">
        <f>IF($A207="","",IFERROR(VLOOKUP($A207,Sheet1!$A:$AN,23,0),""))</f>
        <v/>
      </c>
      <c r="X207" s="5" t="str">
        <f>IF($A207="","",IFERROR(VLOOKUP($A207,Sheet1!$A:$AN,24,0),""))</f>
        <v/>
      </c>
      <c r="Y207" s="5" t="str">
        <f>IF($A207="","",IFERROR(VLOOKUP($A207,Sheet1!$A:$AN,25,0),""))</f>
        <v/>
      </c>
      <c r="AK207" s="5" t="str">
        <f>IF($A207="","",IFERROR(VLOOKUP($A207,Sheet1!$A:$AN,37,0),""))</f>
        <v/>
      </c>
      <c r="AL207" s="13" t="str">
        <f>IF($A207="","",IFERROR(VLOOKUP($A207,Sheet1!$A:$AN,38,0),""))</f>
        <v/>
      </c>
      <c r="AM207" s="13" t="str">
        <f>IF($A207="","",IFERROR(VLOOKUP($A207,Sheet1!$A:$AN,39,0),""))</f>
        <v/>
      </c>
      <c r="AN207" s="13" t="str">
        <f>IF($A207="","",IFERROR(VLOOKUP($A207,Sheet1!$A:$AN,40,0),""))</f>
        <v/>
      </c>
    </row>
    <row r="208" customHeight="1" spans="1:40">
      <c r="A208" s="5" t="str">
        <f>IF(Sheet1!$A208="","",Sheet1!$A208)</f>
        <v/>
      </c>
      <c r="B208" s="5" t="str">
        <f t="shared" si="15"/>
        <v/>
      </c>
      <c r="C208" s="5" t="str">
        <f>IF($A208="","",IFERROR(VLOOKUP($A208,Sheet1!$A:$AN,3,0),""))</f>
        <v/>
      </c>
      <c r="D208" s="5" t="str">
        <f t="shared" si="16"/>
        <v/>
      </c>
      <c r="I208" s="5" t="str">
        <f t="shared" si="17"/>
        <v/>
      </c>
      <c r="M208" s="5" t="str">
        <f t="shared" si="18"/>
        <v/>
      </c>
      <c r="R208" s="5" t="str">
        <f>IF($A208="","",IFERROR(VLOOKUP($A208,Sheet1!A:AN,18,0),""))</f>
        <v/>
      </c>
      <c r="S208" s="5" t="str">
        <f>IF($A208="","",IFERROR(VLOOKUP($A208,Sheet1!$A:$AN,19,0),""))</f>
        <v/>
      </c>
      <c r="T208" s="5" t="str">
        <f t="shared" si="19"/>
        <v/>
      </c>
      <c r="U208" s="5" t="str">
        <f>IF($A208="","",IFERROR(VLOOKUP($A208,Sheet1!$A:$AN,21,0),""))</f>
        <v/>
      </c>
      <c r="V208" s="5" t="str">
        <f>IF($A208="","",IFERROR(SUBSTITUTE(VLOOKUP($A208,Sheet1!$A:$AN,22,0),"族",""),""))</f>
        <v/>
      </c>
      <c r="W208" s="5" t="str">
        <f>IF($A208="","",IFERROR(VLOOKUP($A208,Sheet1!$A:$AN,23,0),""))</f>
        <v/>
      </c>
      <c r="X208" s="5" t="str">
        <f>IF($A208="","",IFERROR(VLOOKUP($A208,Sheet1!$A:$AN,24,0),""))</f>
        <v/>
      </c>
      <c r="Y208" s="5" t="str">
        <f>IF($A208="","",IFERROR(VLOOKUP($A208,Sheet1!$A:$AN,25,0),""))</f>
        <v/>
      </c>
      <c r="AK208" s="5" t="str">
        <f>IF($A208="","",IFERROR(VLOOKUP($A208,Sheet1!$A:$AN,37,0),""))</f>
        <v/>
      </c>
      <c r="AL208" s="13" t="str">
        <f>IF($A208="","",IFERROR(VLOOKUP($A208,Sheet1!$A:$AN,38,0),""))</f>
        <v/>
      </c>
      <c r="AM208" s="13" t="str">
        <f>IF($A208="","",IFERROR(VLOOKUP($A208,Sheet1!$A:$AN,39,0),""))</f>
        <v/>
      </c>
      <c r="AN208" s="13" t="str">
        <f>IF($A208="","",IFERROR(VLOOKUP($A208,Sheet1!$A:$AN,40,0),""))</f>
        <v/>
      </c>
    </row>
    <row r="209" customHeight="1" spans="1:40">
      <c r="A209" s="5" t="str">
        <f>IF(Sheet1!$A209="","",Sheet1!$A209)</f>
        <v/>
      </c>
      <c r="B209" s="5" t="str">
        <f t="shared" si="15"/>
        <v/>
      </c>
      <c r="C209" s="5" t="str">
        <f>IF($A209="","",IFERROR(VLOOKUP($A209,Sheet1!$A:$AN,3,0),""))</f>
        <v/>
      </c>
      <c r="D209" s="5" t="str">
        <f t="shared" si="16"/>
        <v/>
      </c>
      <c r="I209" s="5" t="str">
        <f t="shared" si="17"/>
        <v/>
      </c>
      <c r="M209" s="5" t="str">
        <f t="shared" si="18"/>
        <v/>
      </c>
      <c r="R209" s="5" t="str">
        <f>IF($A209="","",IFERROR(VLOOKUP($A209,Sheet1!A:AN,18,0),""))</f>
        <v/>
      </c>
      <c r="S209" s="5" t="str">
        <f>IF($A209="","",IFERROR(VLOOKUP($A209,Sheet1!$A:$AN,19,0),""))</f>
        <v/>
      </c>
      <c r="T209" s="5" t="str">
        <f t="shared" si="19"/>
        <v/>
      </c>
      <c r="U209" s="5" t="str">
        <f>IF($A209="","",IFERROR(VLOOKUP($A209,Sheet1!$A:$AN,21,0),""))</f>
        <v/>
      </c>
      <c r="V209" s="5" t="str">
        <f>IF($A209="","",IFERROR(SUBSTITUTE(VLOOKUP($A209,Sheet1!$A:$AN,22,0),"族",""),""))</f>
        <v/>
      </c>
      <c r="W209" s="5" t="str">
        <f>IF($A209="","",IFERROR(VLOOKUP($A209,Sheet1!$A:$AN,23,0),""))</f>
        <v/>
      </c>
      <c r="X209" s="5" t="str">
        <f>IF($A209="","",IFERROR(VLOOKUP($A209,Sheet1!$A:$AN,24,0),""))</f>
        <v/>
      </c>
      <c r="Y209" s="5" t="str">
        <f>IF($A209="","",IFERROR(VLOOKUP($A209,Sheet1!$A:$AN,25,0),""))</f>
        <v/>
      </c>
      <c r="AK209" s="5" t="str">
        <f>IF($A209="","",IFERROR(VLOOKUP($A209,Sheet1!$A:$AN,37,0),""))</f>
        <v/>
      </c>
      <c r="AL209" s="13" t="str">
        <f>IF($A209="","",IFERROR(VLOOKUP($A209,Sheet1!$A:$AN,38,0),""))</f>
        <v/>
      </c>
      <c r="AM209" s="13" t="str">
        <f>IF($A209="","",IFERROR(VLOOKUP($A209,Sheet1!$A:$AN,39,0),""))</f>
        <v/>
      </c>
      <c r="AN209" s="13" t="str">
        <f>IF($A209="","",IFERROR(VLOOKUP($A209,Sheet1!$A:$AN,40,0),""))</f>
        <v/>
      </c>
    </row>
    <row r="210" customHeight="1" spans="1:40">
      <c r="A210" s="5" t="str">
        <f>IF(Sheet1!$A210="","",Sheet1!$A210)</f>
        <v/>
      </c>
      <c r="B210" s="5" t="str">
        <f t="shared" si="15"/>
        <v/>
      </c>
      <c r="C210" s="5" t="str">
        <f>IF($A210="","",IFERROR(VLOOKUP($A210,Sheet1!$A:$AN,3,0),""))</f>
        <v/>
      </c>
      <c r="D210" s="5" t="str">
        <f t="shared" si="16"/>
        <v/>
      </c>
      <c r="I210" s="5" t="str">
        <f t="shared" si="17"/>
        <v/>
      </c>
      <c r="M210" s="5" t="str">
        <f t="shared" si="18"/>
        <v/>
      </c>
      <c r="R210" s="5" t="str">
        <f>IF($A210="","",IFERROR(VLOOKUP($A210,Sheet1!A:AN,18,0),""))</f>
        <v/>
      </c>
      <c r="S210" s="5" t="str">
        <f>IF($A210="","",IFERROR(VLOOKUP($A210,Sheet1!$A:$AN,19,0),""))</f>
        <v/>
      </c>
      <c r="T210" s="5" t="str">
        <f t="shared" si="19"/>
        <v/>
      </c>
      <c r="U210" s="5" t="str">
        <f>IF($A210="","",IFERROR(VLOOKUP($A210,Sheet1!$A:$AN,21,0),""))</f>
        <v/>
      </c>
      <c r="V210" s="5" t="str">
        <f>IF($A210="","",IFERROR(SUBSTITUTE(VLOOKUP($A210,Sheet1!$A:$AN,22,0),"族",""),""))</f>
        <v/>
      </c>
      <c r="W210" s="5" t="str">
        <f>IF($A210="","",IFERROR(VLOOKUP($A210,Sheet1!$A:$AN,23,0),""))</f>
        <v/>
      </c>
      <c r="X210" s="5" t="str">
        <f>IF($A210="","",IFERROR(VLOOKUP($A210,Sheet1!$A:$AN,24,0),""))</f>
        <v/>
      </c>
      <c r="Y210" s="5" t="str">
        <f>IF($A210="","",IFERROR(VLOOKUP($A210,Sheet1!$A:$AN,25,0),""))</f>
        <v/>
      </c>
      <c r="AK210" s="5" t="str">
        <f>IF($A210="","",IFERROR(VLOOKUP($A210,Sheet1!$A:$AN,37,0),""))</f>
        <v/>
      </c>
      <c r="AL210" s="13" t="str">
        <f>IF($A210="","",IFERROR(VLOOKUP($A210,Sheet1!$A:$AN,38,0),""))</f>
        <v/>
      </c>
      <c r="AM210" s="13" t="str">
        <f>IF($A210="","",IFERROR(VLOOKUP($A210,Sheet1!$A:$AN,39,0),""))</f>
        <v/>
      </c>
      <c r="AN210" s="13" t="str">
        <f>IF($A210="","",IFERROR(VLOOKUP($A210,Sheet1!$A:$AN,40,0),""))</f>
        <v/>
      </c>
    </row>
    <row r="211" customHeight="1" spans="1:40">
      <c r="A211" s="5" t="str">
        <f>IF(Sheet1!$A211="","",Sheet1!$A211)</f>
        <v/>
      </c>
      <c r="B211" s="5" t="str">
        <f t="shared" si="15"/>
        <v/>
      </c>
      <c r="C211" s="5" t="str">
        <f>IF($A211="","",IFERROR(VLOOKUP($A211,Sheet1!$A:$AN,3,0),""))</f>
        <v/>
      </c>
      <c r="D211" s="5" t="str">
        <f t="shared" si="16"/>
        <v/>
      </c>
      <c r="I211" s="5" t="str">
        <f t="shared" si="17"/>
        <v/>
      </c>
      <c r="M211" s="5" t="str">
        <f t="shared" si="18"/>
        <v/>
      </c>
      <c r="R211" s="5" t="str">
        <f>IF($A211="","",IFERROR(VLOOKUP($A211,Sheet1!A:AN,18,0),""))</f>
        <v/>
      </c>
      <c r="S211" s="5" t="str">
        <f>IF($A211="","",IFERROR(VLOOKUP($A211,Sheet1!$A:$AN,19,0),""))</f>
        <v/>
      </c>
      <c r="T211" s="5" t="str">
        <f t="shared" si="19"/>
        <v/>
      </c>
      <c r="U211" s="5" t="str">
        <f>IF($A211="","",IFERROR(VLOOKUP($A211,Sheet1!$A:$AN,21,0),""))</f>
        <v/>
      </c>
      <c r="V211" s="5" t="str">
        <f>IF($A211="","",IFERROR(SUBSTITUTE(VLOOKUP($A211,Sheet1!$A:$AN,22,0),"族",""),""))</f>
        <v/>
      </c>
      <c r="W211" s="5" t="str">
        <f>IF($A211="","",IFERROR(VLOOKUP($A211,Sheet1!$A:$AN,23,0),""))</f>
        <v/>
      </c>
      <c r="X211" s="5" t="str">
        <f>IF($A211="","",IFERROR(VLOOKUP($A211,Sheet1!$A:$AN,24,0),""))</f>
        <v/>
      </c>
      <c r="Y211" s="5" t="str">
        <f>IF($A211="","",IFERROR(VLOOKUP($A211,Sheet1!$A:$AN,25,0),""))</f>
        <v/>
      </c>
      <c r="AK211" s="5" t="str">
        <f>IF($A211="","",IFERROR(VLOOKUP($A211,Sheet1!$A:$AN,37,0),""))</f>
        <v/>
      </c>
      <c r="AL211" s="13" t="str">
        <f>IF($A211="","",IFERROR(VLOOKUP($A211,Sheet1!$A:$AN,38,0),""))</f>
        <v/>
      </c>
      <c r="AM211" s="13" t="str">
        <f>IF($A211="","",IFERROR(VLOOKUP($A211,Sheet1!$A:$AN,39,0),""))</f>
        <v/>
      </c>
      <c r="AN211" s="13" t="str">
        <f>IF($A211="","",IFERROR(VLOOKUP($A211,Sheet1!$A:$AN,40,0),""))</f>
        <v/>
      </c>
    </row>
    <row r="212" customHeight="1" spans="1:40">
      <c r="A212" s="5" t="str">
        <f>IF(Sheet1!$A212="","",Sheet1!$A212)</f>
        <v/>
      </c>
      <c r="B212" s="5" t="str">
        <f t="shared" si="15"/>
        <v/>
      </c>
      <c r="C212" s="5" t="str">
        <f>IF($A212="","",IFERROR(VLOOKUP($A212,Sheet1!$A:$AN,3,0),""))</f>
        <v/>
      </c>
      <c r="D212" s="5" t="str">
        <f t="shared" si="16"/>
        <v/>
      </c>
      <c r="I212" s="5" t="str">
        <f t="shared" si="17"/>
        <v/>
      </c>
      <c r="M212" s="5" t="str">
        <f t="shared" si="18"/>
        <v/>
      </c>
      <c r="R212" s="5" t="str">
        <f>IF($A212="","",IFERROR(VLOOKUP($A212,Sheet1!A:AN,18,0),""))</f>
        <v/>
      </c>
      <c r="S212" s="5" t="str">
        <f>IF($A212="","",IFERROR(VLOOKUP($A212,Sheet1!$A:$AN,19,0),""))</f>
        <v/>
      </c>
      <c r="T212" s="5" t="str">
        <f t="shared" si="19"/>
        <v/>
      </c>
      <c r="U212" s="5" t="str">
        <f>IF($A212="","",IFERROR(VLOOKUP($A212,Sheet1!$A:$AN,21,0),""))</f>
        <v/>
      </c>
      <c r="V212" s="5" t="str">
        <f>IF($A212="","",IFERROR(SUBSTITUTE(VLOOKUP($A212,Sheet1!$A:$AN,22,0),"族",""),""))</f>
        <v/>
      </c>
      <c r="W212" s="5" t="str">
        <f>IF($A212="","",IFERROR(VLOOKUP($A212,Sheet1!$A:$AN,23,0),""))</f>
        <v/>
      </c>
      <c r="X212" s="5" t="str">
        <f>IF($A212="","",IFERROR(VLOOKUP($A212,Sheet1!$A:$AN,24,0),""))</f>
        <v/>
      </c>
      <c r="Y212" s="5" t="str">
        <f>IF($A212="","",IFERROR(VLOOKUP($A212,Sheet1!$A:$AN,25,0),""))</f>
        <v/>
      </c>
      <c r="AK212" s="5" t="str">
        <f>IF($A212="","",IFERROR(VLOOKUP($A212,Sheet1!$A:$AN,37,0),""))</f>
        <v/>
      </c>
      <c r="AL212" s="13" t="str">
        <f>IF($A212="","",IFERROR(VLOOKUP($A212,Sheet1!$A:$AN,38,0),""))</f>
        <v/>
      </c>
      <c r="AM212" s="13" t="str">
        <f>IF($A212="","",IFERROR(VLOOKUP($A212,Sheet1!$A:$AN,39,0),""))</f>
        <v/>
      </c>
      <c r="AN212" s="13" t="str">
        <f>IF($A212="","",IFERROR(VLOOKUP($A212,Sheet1!$A:$AN,40,0),""))</f>
        <v/>
      </c>
    </row>
    <row r="213" customHeight="1" spans="1:40">
      <c r="A213" s="5" t="str">
        <f>IF(Sheet1!$A213="","",Sheet1!$A213)</f>
        <v/>
      </c>
      <c r="B213" s="5" t="str">
        <f t="shared" si="15"/>
        <v/>
      </c>
      <c r="C213" s="5" t="str">
        <f>IF($A213="","",IFERROR(VLOOKUP($A213,Sheet1!$A:$AN,3,0),""))</f>
        <v/>
      </c>
      <c r="D213" s="5" t="str">
        <f t="shared" si="16"/>
        <v/>
      </c>
      <c r="I213" s="5" t="str">
        <f t="shared" si="17"/>
        <v/>
      </c>
      <c r="M213" s="5" t="str">
        <f t="shared" si="18"/>
        <v/>
      </c>
      <c r="R213" s="5" t="str">
        <f>IF($A213="","",IFERROR(VLOOKUP($A213,Sheet1!A:AN,18,0),""))</f>
        <v/>
      </c>
      <c r="S213" s="5" t="str">
        <f>IF($A213="","",IFERROR(VLOOKUP($A213,Sheet1!$A:$AN,19,0),""))</f>
        <v/>
      </c>
      <c r="T213" s="5" t="str">
        <f t="shared" si="19"/>
        <v/>
      </c>
      <c r="U213" s="5" t="str">
        <f>IF($A213="","",IFERROR(VLOOKUP($A213,Sheet1!$A:$AN,21,0),""))</f>
        <v/>
      </c>
      <c r="V213" s="5" t="str">
        <f>IF($A213="","",IFERROR(SUBSTITUTE(VLOOKUP($A213,Sheet1!$A:$AN,22,0),"族",""),""))</f>
        <v/>
      </c>
      <c r="W213" s="5" t="str">
        <f>IF($A213="","",IFERROR(VLOOKUP($A213,Sheet1!$A:$AN,23,0),""))</f>
        <v/>
      </c>
      <c r="X213" s="5" t="str">
        <f>IF($A213="","",IFERROR(VLOOKUP($A213,Sheet1!$A:$AN,24,0),""))</f>
        <v/>
      </c>
      <c r="Y213" s="5" t="str">
        <f>IF($A213="","",IFERROR(VLOOKUP($A213,Sheet1!$A:$AN,25,0),""))</f>
        <v/>
      </c>
      <c r="AK213" s="5" t="str">
        <f>IF($A213="","",IFERROR(VLOOKUP($A213,Sheet1!$A:$AN,37,0),""))</f>
        <v/>
      </c>
      <c r="AL213" s="13" t="str">
        <f>IF($A213="","",IFERROR(VLOOKUP($A213,Sheet1!$A:$AN,38,0),""))</f>
        <v/>
      </c>
      <c r="AM213" s="13" t="str">
        <f>IF($A213="","",IFERROR(VLOOKUP($A213,Sheet1!$A:$AN,39,0),""))</f>
        <v/>
      </c>
      <c r="AN213" s="13" t="str">
        <f>IF($A213="","",IFERROR(VLOOKUP($A213,Sheet1!$A:$AN,40,0),""))</f>
        <v/>
      </c>
    </row>
    <row r="214" customHeight="1" spans="1:40">
      <c r="A214" s="5" t="str">
        <f>IF(Sheet1!$A214="","",Sheet1!$A214)</f>
        <v/>
      </c>
      <c r="B214" s="5" t="str">
        <f t="shared" si="15"/>
        <v/>
      </c>
      <c r="C214" s="5" t="str">
        <f>IF($A214="","",IFERROR(VLOOKUP($A214,Sheet1!$A:$AN,3,0),""))</f>
        <v/>
      </c>
      <c r="D214" s="5" t="str">
        <f t="shared" si="16"/>
        <v/>
      </c>
      <c r="I214" s="5" t="str">
        <f t="shared" si="17"/>
        <v/>
      </c>
      <c r="M214" s="5" t="str">
        <f t="shared" si="18"/>
        <v/>
      </c>
      <c r="R214" s="5" t="str">
        <f>IF($A214="","",IFERROR(VLOOKUP($A214,Sheet1!A:AN,18,0),""))</f>
        <v/>
      </c>
      <c r="S214" s="5" t="str">
        <f>IF($A214="","",IFERROR(VLOOKUP($A214,Sheet1!$A:$AN,19,0),""))</f>
        <v/>
      </c>
      <c r="T214" s="5" t="str">
        <f t="shared" si="19"/>
        <v/>
      </c>
      <c r="U214" s="5" t="str">
        <f>IF($A214="","",IFERROR(VLOOKUP($A214,Sheet1!$A:$AN,21,0),""))</f>
        <v/>
      </c>
      <c r="V214" s="5" t="str">
        <f>IF($A214="","",IFERROR(SUBSTITUTE(VLOOKUP($A214,Sheet1!$A:$AN,22,0),"族",""),""))</f>
        <v/>
      </c>
      <c r="W214" s="5" t="str">
        <f>IF($A214="","",IFERROR(VLOOKUP($A214,Sheet1!$A:$AN,23,0),""))</f>
        <v/>
      </c>
      <c r="X214" s="5" t="str">
        <f>IF($A214="","",IFERROR(VLOOKUP($A214,Sheet1!$A:$AN,24,0),""))</f>
        <v/>
      </c>
      <c r="Y214" s="5" t="str">
        <f>IF($A214="","",IFERROR(VLOOKUP($A214,Sheet1!$A:$AN,25,0),""))</f>
        <v/>
      </c>
      <c r="AK214" s="5" t="str">
        <f>IF($A214="","",IFERROR(VLOOKUP($A214,Sheet1!$A:$AN,37,0),""))</f>
        <v/>
      </c>
      <c r="AL214" s="13" t="str">
        <f>IF($A214="","",IFERROR(VLOOKUP($A214,Sheet1!$A:$AN,38,0),""))</f>
        <v/>
      </c>
      <c r="AM214" s="13" t="str">
        <f>IF($A214="","",IFERROR(VLOOKUP($A214,Sheet1!$A:$AN,39,0),""))</f>
        <v/>
      </c>
      <c r="AN214" s="13" t="str">
        <f>IF($A214="","",IFERROR(VLOOKUP($A214,Sheet1!$A:$AN,40,0),""))</f>
        <v/>
      </c>
    </row>
    <row r="215" customHeight="1" spans="1:40">
      <c r="A215" s="5" t="str">
        <f>IF(Sheet1!$A215="","",Sheet1!$A215)</f>
        <v/>
      </c>
      <c r="B215" s="5" t="str">
        <f t="shared" si="15"/>
        <v/>
      </c>
      <c r="C215" s="5" t="str">
        <f>IF($A215="","",IFERROR(VLOOKUP($A215,Sheet1!$A:$AN,3,0),""))</f>
        <v/>
      </c>
      <c r="D215" s="5" t="str">
        <f t="shared" si="16"/>
        <v/>
      </c>
      <c r="I215" s="5" t="str">
        <f t="shared" si="17"/>
        <v/>
      </c>
      <c r="M215" s="5" t="str">
        <f t="shared" si="18"/>
        <v/>
      </c>
      <c r="R215" s="5" t="str">
        <f>IF($A215="","",IFERROR(VLOOKUP($A215,Sheet1!A:AN,18,0),""))</f>
        <v/>
      </c>
      <c r="S215" s="5" t="str">
        <f>IF($A215="","",IFERROR(VLOOKUP($A215,Sheet1!$A:$AN,19,0),""))</f>
        <v/>
      </c>
      <c r="T215" s="5" t="str">
        <f t="shared" si="19"/>
        <v/>
      </c>
      <c r="U215" s="5" t="str">
        <f>IF($A215="","",IFERROR(VLOOKUP($A215,Sheet1!$A:$AN,21,0),""))</f>
        <v/>
      </c>
      <c r="V215" s="5" t="str">
        <f>IF($A215="","",IFERROR(SUBSTITUTE(VLOOKUP($A215,Sheet1!$A:$AN,22,0),"族",""),""))</f>
        <v/>
      </c>
      <c r="W215" s="5" t="str">
        <f>IF($A215="","",IFERROR(VLOOKUP($A215,Sheet1!$A:$AN,23,0),""))</f>
        <v/>
      </c>
      <c r="X215" s="5" t="str">
        <f>IF($A215="","",IFERROR(VLOOKUP($A215,Sheet1!$A:$AN,24,0),""))</f>
        <v/>
      </c>
      <c r="Y215" s="5" t="str">
        <f>IF($A215="","",IFERROR(VLOOKUP($A215,Sheet1!$A:$AN,25,0),""))</f>
        <v/>
      </c>
      <c r="AK215" s="5" t="str">
        <f>IF($A215="","",IFERROR(VLOOKUP($A215,Sheet1!$A:$AN,37,0),""))</f>
        <v/>
      </c>
      <c r="AL215" s="13" t="str">
        <f>IF($A215="","",IFERROR(VLOOKUP($A215,Sheet1!$A:$AN,38,0),""))</f>
        <v/>
      </c>
      <c r="AM215" s="13" t="str">
        <f>IF($A215="","",IFERROR(VLOOKUP($A215,Sheet1!$A:$AN,39,0),""))</f>
        <v/>
      </c>
      <c r="AN215" s="13" t="str">
        <f>IF($A215="","",IFERROR(VLOOKUP($A215,Sheet1!$A:$AN,40,0),""))</f>
        <v/>
      </c>
    </row>
    <row r="216" customHeight="1" spans="1:40">
      <c r="A216" s="5" t="str">
        <f>IF(Sheet1!$A216="","",Sheet1!$A216)</f>
        <v/>
      </c>
      <c r="B216" s="5" t="str">
        <f t="shared" si="15"/>
        <v/>
      </c>
      <c r="C216" s="5" t="str">
        <f>IF($A216="","",IFERROR(VLOOKUP($A216,Sheet1!$A:$AN,3,0),""))</f>
        <v/>
      </c>
      <c r="D216" s="5" t="str">
        <f t="shared" si="16"/>
        <v/>
      </c>
      <c r="I216" s="5" t="str">
        <f t="shared" si="17"/>
        <v/>
      </c>
      <c r="M216" s="5" t="str">
        <f t="shared" si="18"/>
        <v/>
      </c>
      <c r="R216" s="5" t="str">
        <f>IF($A216="","",IFERROR(VLOOKUP($A216,Sheet1!A:AN,18,0),""))</f>
        <v/>
      </c>
      <c r="S216" s="5" t="str">
        <f>IF($A216="","",IFERROR(VLOOKUP($A216,Sheet1!$A:$AN,19,0),""))</f>
        <v/>
      </c>
      <c r="T216" s="5" t="str">
        <f t="shared" si="19"/>
        <v/>
      </c>
      <c r="U216" s="5" t="str">
        <f>IF($A216="","",IFERROR(VLOOKUP($A216,Sheet1!$A:$AN,21,0),""))</f>
        <v/>
      </c>
      <c r="V216" s="5" t="str">
        <f>IF($A216="","",IFERROR(SUBSTITUTE(VLOOKUP($A216,Sheet1!$A:$AN,22,0),"族",""),""))</f>
        <v/>
      </c>
      <c r="W216" s="5" t="str">
        <f>IF($A216="","",IFERROR(VLOOKUP($A216,Sheet1!$A:$AN,23,0),""))</f>
        <v/>
      </c>
      <c r="X216" s="5" t="str">
        <f>IF($A216="","",IFERROR(VLOOKUP($A216,Sheet1!$A:$AN,24,0),""))</f>
        <v/>
      </c>
      <c r="Y216" s="5" t="str">
        <f>IF($A216="","",IFERROR(VLOOKUP($A216,Sheet1!$A:$AN,25,0),""))</f>
        <v/>
      </c>
      <c r="AK216" s="5" t="str">
        <f>IF($A216="","",IFERROR(VLOOKUP($A216,Sheet1!$A:$AN,37,0),""))</f>
        <v/>
      </c>
      <c r="AL216" s="13" t="str">
        <f>IF($A216="","",IFERROR(VLOOKUP($A216,Sheet1!$A:$AN,38,0),""))</f>
        <v/>
      </c>
      <c r="AM216" s="13" t="str">
        <f>IF($A216="","",IFERROR(VLOOKUP($A216,Sheet1!$A:$AN,39,0),""))</f>
        <v/>
      </c>
      <c r="AN216" s="13" t="str">
        <f>IF($A216="","",IFERROR(VLOOKUP($A216,Sheet1!$A:$AN,40,0),""))</f>
        <v/>
      </c>
    </row>
    <row r="217" customHeight="1" spans="1:40">
      <c r="A217" s="5" t="str">
        <f>IF(Sheet1!$A217="","",Sheet1!$A217)</f>
        <v/>
      </c>
      <c r="B217" s="5" t="str">
        <f t="shared" si="15"/>
        <v/>
      </c>
      <c r="C217" s="5" t="str">
        <f>IF($A217="","",IFERROR(VLOOKUP($A217,Sheet1!$A:$AN,3,0),""))</f>
        <v/>
      </c>
      <c r="D217" s="5" t="str">
        <f t="shared" si="16"/>
        <v/>
      </c>
      <c r="I217" s="5" t="str">
        <f t="shared" si="17"/>
        <v/>
      </c>
      <c r="M217" s="5" t="str">
        <f t="shared" si="18"/>
        <v/>
      </c>
      <c r="R217" s="5" t="str">
        <f>IF($A217="","",IFERROR(VLOOKUP($A217,Sheet1!A:AN,18,0),""))</f>
        <v/>
      </c>
      <c r="S217" s="5" t="str">
        <f>IF($A217="","",IFERROR(VLOOKUP($A217,Sheet1!$A:$AN,19,0),""))</f>
        <v/>
      </c>
      <c r="T217" s="5" t="str">
        <f t="shared" si="19"/>
        <v/>
      </c>
      <c r="U217" s="5" t="str">
        <f>IF($A217="","",IFERROR(VLOOKUP($A217,Sheet1!$A:$AN,21,0),""))</f>
        <v/>
      </c>
      <c r="V217" s="5" t="str">
        <f>IF($A217="","",IFERROR(SUBSTITUTE(VLOOKUP($A217,Sheet1!$A:$AN,22,0),"族",""),""))</f>
        <v/>
      </c>
      <c r="W217" s="5" t="str">
        <f>IF($A217="","",IFERROR(VLOOKUP($A217,Sheet1!$A:$AN,23,0),""))</f>
        <v/>
      </c>
      <c r="X217" s="5" t="str">
        <f>IF($A217="","",IFERROR(VLOOKUP($A217,Sheet1!$A:$AN,24,0),""))</f>
        <v/>
      </c>
      <c r="Y217" s="5" t="str">
        <f>IF($A217="","",IFERROR(VLOOKUP($A217,Sheet1!$A:$AN,25,0),""))</f>
        <v/>
      </c>
      <c r="AK217" s="5" t="str">
        <f>IF($A217="","",IFERROR(VLOOKUP($A217,Sheet1!$A:$AN,37,0),""))</f>
        <v/>
      </c>
      <c r="AL217" s="13" t="str">
        <f>IF($A217="","",IFERROR(VLOOKUP($A217,Sheet1!$A:$AN,38,0),""))</f>
        <v/>
      </c>
      <c r="AM217" s="13" t="str">
        <f>IF($A217="","",IFERROR(VLOOKUP($A217,Sheet1!$A:$AN,39,0),""))</f>
        <v/>
      </c>
      <c r="AN217" s="13" t="str">
        <f>IF($A217="","",IFERROR(VLOOKUP($A217,Sheet1!$A:$AN,40,0),""))</f>
        <v/>
      </c>
    </row>
    <row r="218" customHeight="1" spans="1:40">
      <c r="A218" s="5" t="str">
        <f>IF(Sheet1!$A218="","",Sheet1!$A218)</f>
        <v/>
      </c>
      <c r="B218" s="5" t="str">
        <f t="shared" si="15"/>
        <v/>
      </c>
      <c r="C218" s="5" t="str">
        <f>IF($A218="","",IFERROR(VLOOKUP($A218,Sheet1!$A:$AN,3,0),""))</f>
        <v/>
      </c>
      <c r="D218" s="5" t="str">
        <f t="shared" si="16"/>
        <v/>
      </c>
      <c r="I218" s="5" t="str">
        <f t="shared" si="17"/>
        <v/>
      </c>
      <c r="M218" s="5" t="str">
        <f t="shared" si="18"/>
        <v/>
      </c>
      <c r="R218" s="5" t="str">
        <f>IF($A218="","",IFERROR(VLOOKUP($A218,Sheet1!A:AN,18,0),""))</f>
        <v/>
      </c>
      <c r="S218" s="5" t="str">
        <f>IF($A218="","",IFERROR(VLOOKUP($A218,Sheet1!$A:$AN,19,0),""))</f>
        <v/>
      </c>
      <c r="T218" s="5" t="str">
        <f t="shared" si="19"/>
        <v/>
      </c>
      <c r="U218" s="5" t="str">
        <f>IF($A218="","",IFERROR(VLOOKUP($A218,Sheet1!$A:$AN,21,0),""))</f>
        <v/>
      </c>
      <c r="V218" s="5" t="str">
        <f>IF($A218="","",IFERROR(SUBSTITUTE(VLOOKUP($A218,Sheet1!$A:$AN,22,0),"族",""),""))</f>
        <v/>
      </c>
      <c r="W218" s="5" t="str">
        <f>IF($A218="","",IFERROR(VLOOKUP($A218,Sheet1!$A:$AN,23,0),""))</f>
        <v/>
      </c>
      <c r="X218" s="5" t="str">
        <f>IF($A218="","",IFERROR(VLOOKUP($A218,Sheet1!$A:$AN,24,0),""))</f>
        <v/>
      </c>
      <c r="Y218" s="5" t="str">
        <f>IF($A218="","",IFERROR(VLOOKUP($A218,Sheet1!$A:$AN,25,0),""))</f>
        <v/>
      </c>
      <c r="AK218" s="5" t="str">
        <f>IF($A218="","",IFERROR(VLOOKUP($A218,Sheet1!$A:$AN,37,0),""))</f>
        <v/>
      </c>
      <c r="AL218" s="13" t="str">
        <f>IF($A218="","",IFERROR(VLOOKUP($A218,Sheet1!$A:$AN,38,0),""))</f>
        <v/>
      </c>
      <c r="AM218" s="13" t="str">
        <f>IF($A218="","",IFERROR(VLOOKUP($A218,Sheet1!$A:$AN,39,0),""))</f>
        <v/>
      </c>
      <c r="AN218" s="13" t="str">
        <f>IF($A218="","",IFERROR(VLOOKUP($A218,Sheet1!$A:$AN,40,0),""))</f>
        <v/>
      </c>
    </row>
    <row r="219" customHeight="1" spans="1:40">
      <c r="A219" s="5" t="str">
        <f>IF(Sheet1!$A219="","",Sheet1!$A219)</f>
        <v/>
      </c>
      <c r="B219" s="5" t="str">
        <f t="shared" si="15"/>
        <v/>
      </c>
      <c r="C219" s="5" t="str">
        <f>IF($A219="","",IFERROR(VLOOKUP($A219,Sheet1!$A:$AN,3,0),""))</f>
        <v/>
      </c>
      <c r="D219" s="5" t="str">
        <f t="shared" si="16"/>
        <v/>
      </c>
      <c r="I219" s="5" t="str">
        <f t="shared" si="17"/>
        <v/>
      </c>
      <c r="M219" s="5" t="str">
        <f t="shared" si="18"/>
        <v/>
      </c>
      <c r="R219" s="5" t="str">
        <f>IF($A219="","",IFERROR(VLOOKUP($A219,Sheet1!A:AN,18,0),""))</f>
        <v/>
      </c>
      <c r="S219" s="5" t="str">
        <f>IF($A219="","",IFERROR(VLOOKUP($A219,Sheet1!$A:$AN,19,0),""))</f>
        <v/>
      </c>
      <c r="T219" s="5" t="str">
        <f t="shared" si="19"/>
        <v/>
      </c>
      <c r="U219" s="5" t="str">
        <f>IF($A219="","",IFERROR(VLOOKUP($A219,Sheet1!$A:$AN,21,0),""))</f>
        <v/>
      </c>
      <c r="V219" s="5" t="str">
        <f>IF($A219="","",IFERROR(SUBSTITUTE(VLOOKUP($A219,Sheet1!$A:$AN,22,0),"族",""),""))</f>
        <v/>
      </c>
      <c r="W219" s="5" t="str">
        <f>IF($A219="","",IFERROR(VLOOKUP($A219,Sheet1!$A:$AN,23,0),""))</f>
        <v/>
      </c>
      <c r="X219" s="5" t="str">
        <f>IF($A219="","",IFERROR(VLOOKUP($A219,Sheet1!$A:$AN,24,0),""))</f>
        <v/>
      </c>
      <c r="Y219" s="5" t="str">
        <f>IF($A219="","",IFERROR(VLOOKUP($A219,Sheet1!$A:$AN,25,0),""))</f>
        <v/>
      </c>
      <c r="AK219" s="5" t="str">
        <f>IF($A219="","",IFERROR(VLOOKUP($A219,Sheet1!$A:$AN,37,0),""))</f>
        <v/>
      </c>
      <c r="AL219" s="13" t="str">
        <f>IF($A219="","",IFERROR(VLOOKUP($A219,Sheet1!$A:$AN,38,0),""))</f>
        <v/>
      </c>
      <c r="AM219" s="13" t="str">
        <f>IF($A219="","",IFERROR(VLOOKUP($A219,Sheet1!$A:$AN,39,0),""))</f>
        <v/>
      </c>
      <c r="AN219" s="13" t="str">
        <f>IF($A219="","",IFERROR(VLOOKUP($A219,Sheet1!$A:$AN,40,0),""))</f>
        <v/>
      </c>
    </row>
    <row r="220" customHeight="1" spans="1:40">
      <c r="A220" s="5" t="str">
        <f>IF(Sheet1!$A220="","",Sheet1!$A220)</f>
        <v/>
      </c>
      <c r="B220" s="5" t="str">
        <f t="shared" si="15"/>
        <v/>
      </c>
      <c r="C220" s="5" t="str">
        <f>IF($A220="","",IFERROR(VLOOKUP($A220,Sheet1!$A:$AN,3,0),""))</f>
        <v/>
      </c>
      <c r="D220" s="5" t="str">
        <f t="shared" si="16"/>
        <v/>
      </c>
      <c r="I220" s="5" t="str">
        <f t="shared" si="17"/>
        <v/>
      </c>
      <c r="M220" s="5" t="str">
        <f t="shared" si="18"/>
        <v/>
      </c>
      <c r="R220" s="5" t="str">
        <f>IF($A220="","",IFERROR(VLOOKUP($A220,Sheet1!A:AN,18,0),""))</f>
        <v/>
      </c>
      <c r="S220" s="5" t="str">
        <f>IF($A220="","",IFERROR(VLOOKUP($A220,Sheet1!$A:$AN,19,0),""))</f>
        <v/>
      </c>
      <c r="T220" s="5" t="str">
        <f t="shared" si="19"/>
        <v/>
      </c>
      <c r="U220" s="5" t="str">
        <f>IF($A220="","",IFERROR(VLOOKUP($A220,Sheet1!$A:$AN,21,0),""))</f>
        <v/>
      </c>
      <c r="V220" s="5" t="str">
        <f>IF($A220="","",IFERROR(SUBSTITUTE(VLOOKUP($A220,Sheet1!$A:$AN,22,0),"族",""),""))</f>
        <v/>
      </c>
      <c r="W220" s="5" t="str">
        <f>IF($A220="","",IFERROR(VLOOKUP($A220,Sheet1!$A:$AN,23,0),""))</f>
        <v/>
      </c>
      <c r="X220" s="5" t="str">
        <f>IF($A220="","",IFERROR(VLOOKUP($A220,Sheet1!$A:$AN,24,0),""))</f>
        <v/>
      </c>
      <c r="Y220" s="5" t="str">
        <f>IF($A220="","",IFERROR(VLOOKUP($A220,Sheet1!$A:$AN,25,0),""))</f>
        <v/>
      </c>
      <c r="AK220" s="5" t="str">
        <f>IF($A220="","",IFERROR(VLOOKUP($A220,Sheet1!$A:$AN,37,0),""))</f>
        <v/>
      </c>
      <c r="AL220" s="13" t="str">
        <f>IF($A220="","",IFERROR(VLOOKUP($A220,Sheet1!$A:$AN,38,0),""))</f>
        <v/>
      </c>
      <c r="AM220" s="13" t="str">
        <f>IF($A220="","",IFERROR(VLOOKUP($A220,Sheet1!$A:$AN,39,0),""))</f>
        <v/>
      </c>
      <c r="AN220" s="13" t="str">
        <f>IF($A220="","",IFERROR(VLOOKUP($A220,Sheet1!$A:$AN,40,0),""))</f>
        <v/>
      </c>
    </row>
    <row r="221" customHeight="1" spans="1:40">
      <c r="A221" s="5" t="str">
        <f>IF(Sheet1!$A221="","",Sheet1!$A221)</f>
        <v/>
      </c>
      <c r="B221" s="5" t="str">
        <f t="shared" si="15"/>
        <v/>
      </c>
      <c r="C221" s="5" t="str">
        <f>IF($A221="","",IFERROR(VLOOKUP($A221,Sheet1!$A:$AN,3,0),""))</f>
        <v/>
      </c>
      <c r="D221" s="5" t="str">
        <f t="shared" si="16"/>
        <v/>
      </c>
      <c r="I221" s="5" t="str">
        <f t="shared" si="17"/>
        <v/>
      </c>
      <c r="M221" s="5" t="str">
        <f t="shared" si="18"/>
        <v/>
      </c>
      <c r="R221" s="5" t="str">
        <f>IF($A221="","",IFERROR(VLOOKUP($A221,Sheet1!A:AN,18,0),""))</f>
        <v/>
      </c>
      <c r="S221" s="5" t="str">
        <f>IF($A221="","",IFERROR(VLOOKUP($A221,Sheet1!$A:$AN,19,0),""))</f>
        <v/>
      </c>
      <c r="T221" s="5" t="str">
        <f t="shared" si="19"/>
        <v/>
      </c>
      <c r="U221" s="5" t="str">
        <f>IF($A221="","",IFERROR(VLOOKUP($A221,Sheet1!$A:$AN,21,0),""))</f>
        <v/>
      </c>
      <c r="V221" s="5" t="str">
        <f>IF($A221="","",IFERROR(SUBSTITUTE(VLOOKUP($A221,Sheet1!$A:$AN,22,0),"族",""),""))</f>
        <v/>
      </c>
      <c r="W221" s="5" t="str">
        <f>IF($A221="","",IFERROR(VLOOKUP($A221,Sheet1!$A:$AN,23,0),""))</f>
        <v/>
      </c>
      <c r="X221" s="5" t="str">
        <f>IF($A221="","",IFERROR(VLOOKUP($A221,Sheet1!$A:$AN,24,0),""))</f>
        <v/>
      </c>
      <c r="Y221" s="5" t="str">
        <f>IF($A221="","",IFERROR(VLOOKUP($A221,Sheet1!$A:$AN,25,0),""))</f>
        <v/>
      </c>
      <c r="AK221" s="5" t="str">
        <f>IF($A221="","",IFERROR(VLOOKUP($A221,Sheet1!$A:$AN,37,0),""))</f>
        <v/>
      </c>
      <c r="AL221" s="13" t="str">
        <f>IF($A221="","",IFERROR(VLOOKUP($A221,Sheet1!$A:$AN,38,0),""))</f>
        <v/>
      </c>
      <c r="AM221" s="13" t="str">
        <f>IF($A221="","",IFERROR(VLOOKUP($A221,Sheet1!$A:$AN,39,0),""))</f>
        <v/>
      </c>
      <c r="AN221" s="13" t="str">
        <f>IF($A221="","",IFERROR(VLOOKUP($A221,Sheet1!$A:$AN,40,0),""))</f>
        <v/>
      </c>
    </row>
    <row r="222" customHeight="1" spans="1:40">
      <c r="A222" s="5" t="str">
        <f>IF(Sheet1!$A222="","",Sheet1!$A222)</f>
        <v/>
      </c>
      <c r="B222" s="5" t="str">
        <f t="shared" si="15"/>
        <v/>
      </c>
      <c r="C222" s="5" t="str">
        <f>IF($A222="","",IFERROR(VLOOKUP($A222,Sheet1!$A:$AN,3,0),""))</f>
        <v/>
      </c>
      <c r="D222" s="5" t="str">
        <f t="shared" si="16"/>
        <v/>
      </c>
      <c r="I222" s="5" t="str">
        <f t="shared" si="17"/>
        <v/>
      </c>
      <c r="M222" s="5" t="str">
        <f t="shared" si="18"/>
        <v/>
      </c>
      <c r="R222" s="5" t="str">
        <f>IF($A222="","",IFERROR(VLOOKUP($A222,Sheet1!A:AN,18,0),""))</f>
        <v/>
      </c>
      <c r="S222" s="5" t="str">
        <f>IF($A222="","",IFERROR(VLOOKUP($A222,Sheet1!$A:$AN,19,0),""))</f>
        <v/>
      </c>
      <c r="T222" s="5" t="str">
        <f t="shared" si="19"/>
        <v/>
      </c>
      <c r="U222" s="5" t="str">
        <f>IF($A222="","",IFERROR(VLOOKUP($A222,Sheet1!$A:$AN,21,0),""))</f>
        <v/>
      </c>
      <c r="V222" s="5" t="str">
        <f>IF($A222="","",IFERROR(SUBSTITUTE(VLOOKUP($A222,Sheet1!$A:$AN,22,0),"族",""),""))</f>
        <v/>
      </c>
      <c r="W222" s="5" t="str">
        <f>IF($A222="","",IFERROR(VLOOKUP($A222,Sheet1!$A:$AN,23,0),""))</f>
        <v/>
      </c>
      <c r="X222" s="5" t="str">
        <f>IF($A222="","",IFERROR(VLOOKUP($A222,Sheet1!$A:$AN,24,0),""))</f>
        <v/>
      </c>
      <c r="Y222" s="5" t="str">
        <f>IF($A222="","",IFERROR(VLOOKUP($A222,Sheet1!$A:$AN,25,0),""))</f>
        <v/>
      </c>
      <c r="AK222" s="5" t="str">
        <f>IF($A222="","",IFERROR(VLOOKUP($A222,Sheet1!$A:$AN,37,0),""))</f>
        <v/>
      </c>
      <c r="AL222" s="13" t="str">
        <f>IF($A222="","",IFERROR(VLOOKUP($A222,Sheet1!$A:$AN,38,0),""))</f>
        <v/>
      </c>
      <c r="AM222" s="13" t="str">
        <f>IF($A222="","",IFERROR(VLOOKUP($A222,Sheet1!$A:$AN,39,0),""))</f>
        <v/>
      </c>
      <c r="AN222" s="13" t="str">
        <f>IF($A222="","",IFERROR(VLOOKUP($A222,Sheet1!$A:$AN,40,0),""))</f>
        <v/>
      </c>
    </row>
    <row r="223" customHeight="1" spans="1:40">
      <c r="A223" s="5" t="str">
        <f>IF(Sheet1!$A223="","",Sheet1!$A223)</f>
        <v/>
      </c>
      <c r="B223" s="5" t="str">
        <f t="shared" si="15"/>
        <v/>
      </c>
      <c r="C223" s="5" t="str">
        <f>IF($A223="","",IFERROR(VLOOKUP($A223,Sheet1!$A:$AN,3,0),""))</f>
        <v/>
      </c>
      <c r="D223" s="5" t="str">
        <f t="shared" si="16"/>
        <v/>
      </c>
      <c r="I223" s="5" t="str">
        <f t="shared" si="17"/>
        <v/>
      </c>
      <c r="M223" s="5" t="str">
        <f t="shared" si="18"/>
        <v/>
      </c>
      <c r="R223" s="5" t="str">
        <f>IF($A223="","",IFERROR(VLOOKUP($A223,Sheet1!A:AN,18,0),""))</f>
        <v/>
      </c>
      <c r="S223" s="5" t="str">
        <f>IF($A223="","",IFERROR(VLOOKUP($A223,Sheet1!$A:$AN,19,0),""))</f>
        <v/>
      </c>
      <c r="T223" s="5" t="str">
        <f t="shared" si="19"/>
        <v/>
      </c>
      <c r="U223" s="5" t="str">
        <f>IF($A223="","",IFERROR(VLOOKUP($A223,Sheet1!$A:$AN,21,0),""))</f>
        <v/>
      </c>
      <c r="V223" s="5" t="str">
        <f>IF($A223="","",IFERROR(SUBSTITUTE(VLOOKUP($A223,Sheet1!$A:$AN,22,0),"族",""),""))</f>
        <v/>
      </c>
      <c r="W223" s="5" t="str">
        <f>IF($A223="","",IFERROR(VLOOKUP($A223,Sheet1!$A:$AN,23,0),""))</f>
        <v/>
      </c>
      <c r="X223" s="5" t="str">
        <f>IF($A223="","",IFERROR(VLOOKUP($A223,Sheet1!$A:$AN,24,0),""))</f>
        <v/>
      </c>
      <c r="Y223" s="5" t="str">
        <f>IF($A223="","",IFERROR(VLOOKUP($A223,Sheet1!$A:$AN,25,0),""))</f>
        <v/>
      </c>
      <c r="AK223" s="5" t="str">
        <f>IF($A223="","",IFERROR(VLOOKUP($A223,Sheet1!$A:$AN,37,0),""))</f>
        <v/>
      </c>
      <c r="AL223" s="13" t="str">
        <f>IF($A223="","",IFERROR(VLOOKUP($A223,Sheet1!$A:$AN,38,0),""))</f>
        <v/>
      </c>
      <c r="AM223" s="13" t="str">
        <f>IF($A223="","",IFERROR(VLOOKUP($A223,Sheet1!$A:$AN,39,0),""))</f>
        <v/>
      </c>
      <c r="AN223" s="13" t="str">
        <f>IF($A223="","",IFERROR(VLOOKUP($A223,Sheet1!$A:$AN,40,0),""))</f>
        <v/>
      </c>
    </row>
    <row r="224" customHeight="1" spans="1:40">
      <c r="A224" s="5" t="str">
        <f>IF(Sheet1!$A224="","",Sheet1!$A224)</f>
        <v/>
      </c>
      <c r="B224" s="5" t="str">
        <f t="shared" si="15"/>
        <v/>
      </c>
      <c r="C224" s="5" t="str">
        <f>IF($A224="","",IFERROR(VLOOKUP($A224,Sheet1!$A:$AN,3,0),""))</f>
        <v/>
      </c>
      <c r="D224" s="5" t="str">
        <f t="shared" si="16"/>
        <v/>
      </c>
      <c r="I224" s="5" t="str">
        <f t="shared" si="17"/>
        <v/>
      </c>
      <c r="M224" s="5" t="str">
        <f t="shared" si="18"/>
        <v/>
      </c>
      <c r="R224" s="5" t="str">
        <f>IF($A224="","",IFERROR(VLOOKUP($A224,Sheet1!A:AN,18,0),""))</f>
        <v/>
      </c>
      <c r="S224" s="5" t="str">
        <f>IF($A224="","",IFERROR(VLOOKUP($A224,Sheet1!$A:$AN,19,0),""))</f>
        <v/>
      </c>
      <c r="T224" s="5" t="str">
        <f t="shared" si="19"/>
        <v/>
      </c>
      <c r="U224" s="5" t="str">
        <f>IF($A224="","",IFERROR(VLOOKUP($A224,Sheet1!$A:$AN,21,0),""))</f>
        <v/>
      </c>
      <c r="V224" s="5" t="str">
        <f>IF($A224="","",IFERROR(SUBSTITUTE(VLOOKUP($A224,Sheet1!$A:$AN,22,0),"族",""),""))</f>
        <v/>
      </c>
      <c r="W224" s="5" t="str">
        <f>IF($A224="","",IFERROR(VLOOKUP($A224,Sheet1!$A:$AN,23,0),""))</f>
        <v/>
      </c>
      <c r="X224" s="5" t="str">
        <f>IF($A224="","",IFERROR(VLOOKUP($A224,Sheet1!$A:$AN,24,0),""))</f>
        <v/>
      </c>
      <c r="Y224" s="5" t="str">
        <f>IF($A224="","",IFERROR(VLOOKUP($A224,Sheet1!$A:$AN,25,0),""))</f>
        <v/>
      </c>
      <c r="AK224" s="5" t="str">
        <f>IF($A224="","",IFERROR(VLOOKUP($A224,Sheet1!$A:$AN,37,0),""))</f>
        <v/>
      </c>
      <c r="AL224" s="13" t="str">
        <f>IF($A224="","",IFERROR(VLOOKUP($A224,Sheet1!$A:$AN,38,0),""))</f>
        <v/>
      </c>
      <c r="AM224" s="13" t="str">
        <f>IF($A224="","",IFERROR(VLOOKUP($A224,Sheet1!$A:$AN,39,0),""))</f>
        <v/>
      </c>
      <c r="AN224" s="13" t="str">
        <f>IF($A224="","",IFERROR(VLOOKUP($A224,Sheet1!$A:$AN,40,0),""))</f>
        <v/>
      </c>
    </row>
    <row r="225" customHeight="1" spans="1:40">
      <c r="A225" s="5" t="str">
        <f>IF(Sheet1!$A225="","",Sheet1!$A225)</f>
        <v/>
      </c>
      <c r="B225" s="5" t="str">
        <f t="shared" si="15"/>
        <v/>
      </c>
      <c r="C225" s="5" t="str">
        <f>IF($A225="","",IFERROR(VLOOKUP($A225,Sheet1!$A:$AN,3,0),""))</f>
        <v/>
      </c>
      <c r="D225" s="5" t="str">
        <f t="shared" si="16"/>
        <v/>
      </c>
      <c r="I225" s="5" t="str">
        <f t="shared" si="17"/>
        <v/>
      </c>
      <c r="M225" s="5" t="str">
        <f t="shared" si="18"/>
        <v/>
      </c>
      <c r="R225" s="5" t="str">
        <f>IF($A225="","",IFERROR(VLOOKUP($A225,Sheet1!A:AN,18,0),""))</f>
        <v/>
      </c>
      <c r="S225" s="5" t="str">
        <f>IF($A225="","",IFERROR(VLOOKUP($A225,Sheet1!$A:$AN,19,0),""))</f>
        <v/>
      </c>
      <c r="T225" s="5" t="str">
        <f t="shared" si="19"/>
        <v/>
      </c>
      <c r="U225" s="5" t="str">
        <f>IF($A225="","",IFERROR(VLOOKUP($A225,Sheet1!$A:$AN,21,0),""))</f>
        <v/>
      </c>
      <c r="V225" s="5" t="str">
        <f>IF($A225="","",IFERROR(SUBSTITUTE(VLOOKUP($A225,Sheet1!$A:$AN,22,0),"族",""),""))</f>
        <v/>
      </c>
      <c r="W225" s="5" t="str">
        <f>IF($A225="","",IFERROR(VLOOKUP($A225,Sheet1!$A:$AN,23,0),""))</f>
        <v/>
      </c>
      <c r="X225" s="5" t="str">
        <f>IF($A225="","",IFERROR(VLOOKUP($A225,Sheet1!$A:$AN,24,0),""))</f>
        <v/>
      </c>
      <c r="Y225" s="5" t="str">
        <f>IF($A225="","",IFERROR(VLOOKUP($A225,Sheet1!$A:$AN,25,0),""))</f>
        <v/>
      </c>
      <c r="AK225" s="5" t="str">
        <f>IF($A225="","",IFERROR(VLOOKUP($A225,Sheet1!$A:$AN,37,0),""))</f>
        <v/>
      </c>
      <c r="AL225" s="13" t="str">
        <f>IF($A225="","",IFERROR(VLOOKUP($A225,Sheet1!$A:$AN,38,0),""))</f>
        <v/>
      </c>
      <c r="AM225" s="13" t="str">
        <f>IF($A225="","",IFERROR(VLOOKUP($A225,Sheet1!$A:$AN,39,0),""))</f>
        <v/>
      </c>
      <c r="AN225" s="13" t="str">
        <f>IF($A225="","",IFERROR(VLOOKUP($A225,Sheet1!$A:$AN,40,0),""))</f>
        <v/>
      </c>
    </row>
    <row r="226" customHeight="1" spans="1:40">
      <c r="A226" s="5" t="str">
        <f>IF(Sheet1!$A226="","",Sheet1!$A226)</f>
        <v/>
      </c>
      <c r="B226" s="5" t="str">
        <f t="shared" si="15"/>
        <v/>
      </c>
      <c r="C226" s="5" t="str">
        <f>IF($A226="","",IFERROR(VLOOKUP($A226,Sheet1!$A:$AN,3,0),""))</f>
        <v/>
      </c>
      <c r="D226" s="5" t="str">
        <f t="shared" si="16"/>
        <v/>
      </c>
      <c r="I226" s="5" t="str">
        <f t="shared" si="17"/>
        <v/>
      </c>
      <c r="M226" s="5" t="str">
        <f t="shared" si="18"/>
        <v/>
      </c>
      <c r="R226" s="5" t="str">
        <f>IF($A226="","",IFERROR(VLOOKUP($A226,Sheet1!A:AN,18,0),""))</f>
        <v/>
      </c>
      <c r="S226" s="5" t="str">
        <f>IF($A226="","",IFERROR(VLOOKUP($A226,Sheet1!$A:$AN,19,0),""))</f>
        <v/>
      </c>
      <c r="T226" s="5" t="str">
        <f t="shared" si="19"/>
        <v/>
      </c>
      <c r="U226" s="5" t="str">
        <f>IF($A226="","",IFERROR(VLOOKUP($A226,Sheet1!$A:$AN,21,0),""))</f>
        <v/>
      </c>
      <c r="V226" s="5" t="str">
        <f>IF($A226="","",IFERROR(SUBSTITUTE(VLOOKUP($A226,Sheet1!$A:$AN,22,0),"族",""),""))</f>
        <v/>
      </c>
      <c r="W226" s="5" t="str">
        <f>IF($A226="","",IFERROR(VLOOKUP($A226,Sheet1!$A:$AN,23,0),""))</f>
        <v/>
      </c>
      <c r="X226" s="5" t="str">
        <f>IF($A226="","",IFERROR(VLOOKUP($A226,Sheet1!$A:$AN,24,0),""))</f>
        <v/>
      </c>
      <c r="Y226" s="5" t="str">
        <f>IF($A226="","",IFERROR(VLOOKUP($A226,Sheet1!$A:$AN,25,0),""))</f>
        <v/>
      </c>
      <c r="AK226" s="5" t="str">
        <f>IF($A226="","",IFERROR(VLOOKUP($A226,Sheet1!$A:$AN,37,0),""))</f>
        <v/>
      </c>
      <c r="AL226" s="13" t="str">
        <f>IF($A226="","",IFERROR(VLOOKUP($A226,Sheet1!$A:$AN,38,0),""))</f>
        <v/>
      </c>
      <c r="AM226" s="13" t="str">
        <f>IF($A226="","",IFERROR(VLOOKUP($A226,Sheet1!$A:$AN,39,0),""))</f>
        <v/>
      </c>
      <c r="AN226" s="13" t="str">
        <f>IF($A226="","",IFERROR(VLOOKUP($A226,Sheet1!$A:$AN,40,0),""))</f>
        <v/>
      </c>
    </row>
    <row r="227" customHeight="1" spans="1:40">
      <c r="A227" s="5" t="str">
        <f>IF(Sheet1!$A227="","",Sheet1!$A227)</f>
        <v/>
      </c>
      <c r="B227" s="5" t="str">
        <f t="shared" si="15"/>
        <v/>
      </c>
      <c r="C227" s="5" t="str">
        <f>IF($A227="","",IFERROR(VLOOKUP($A227,Sheet1!$A:$AN,3,0),""))</f>
        <v/>
      </c>
      <c r="D227" s="5" t="str">
        <f t="shared" si="16"/>
        <v/>
      </c>
      <c r="I227" s="5" t="str">
        <f t="shared" si="17"/>
        <v/>
      </c>
      <c r="M227" s="5" t="str">
        <f t="shared" si="18"/>
        <v/>
      </c>
      <c r="R227" s="5" t="str">
        <f>IF($A227="","",IFERROR(VLOOKUP($A227,Sheet1!A:AN,18,0),""))</f>
        <v/>
      </c>
      <c r="S227" s="5" t="str">
        <f>IF($A227="","",IFERROR(VLOOKUP($A227,Sheet1!$A:$AN,19,0),""))</f>
        <v/>
      </c>
      <c r="T227" s="5" t="str">
        <f t="shared" si="19"/>
        <v/>
      </c>
      <c r="U227" s="5" t="str">
        <f>IF($A227="","",IFERROR(VLOOKUP($A227,Sheet1!$A:$AN,21,0),""))</f>
        <v/>
      </c>
      <c r="V227" s="5" t="str">
        <f>IF($A227="","",IFERROR(SUBSTITUTE(VLOOKUP($A227,Sheet1!$A:$AN,22,0),"族",""),""))</f>
        <v/>
      </c>
      <c r="W227" s="5" t="str">
        <f>IF($A227="","",IFERROR(VLOOKUP($A227,Sheet1!$A:$AN,23,0),""))</f>
        <v/>
      </c>
      <c r="X227" s="5" t="str">
        <f>IF($A227="","",IFERROR(VLOOKUP($A227,Sheet1!$A:$AN,24,0),""))</f>
        <v/>
      </c>
      <c r="Y227" s="5" t="str">
        <f>IF($A227="","",IFERROR(VLOOKUP($A227,Sheet1!$A:$AN,25,0),""))</f>
        <v/>
      </c>
      <c r="AK227" s="5" t="str">
        <f>IF($A227="","",IFERROR(VLOOKUP($A227,Sheet1!$A:$AN,37,0),""))</f>
        <v/>
      </c>
      <c r="AL227" s="13" t="str">
        <f>IF($A227="","",IFERROR(VLOOKUP($A227,Sheet1!$A:$AN,38,0),""))</f>
        <v/>
      </c>
      <c r="AM227" s="13" t="str">
        <f>IF($A227="","",IFERROR(VLOOKUP($A227,Sheet1!$A:$AN,39,0),""))</f>
        <v/>
      </c>
      <c r="AN227" s="13" t="str">
        <f>IF($A227="","",IFERROR(VLOOKUP($A227,Sheet1!$A:$AN,40,0),""))</f>
        <v/>
      </c>
    </row>
    <row r="228" customHeight="1" spans="1:40">
      <c r="A228" s="5" t="str">
        <f>IF(Sheet1!$A228="","",Sheet1!$A228)</f>
        <v/>
      </c>
      <c r="B228" s="5" t="str">
        <f t="shared" si="15"/>
        <v/>
      </c>
      <c r="C228" s="5" t="str">
        <f>IF($A228="","",IFERROR(VLOOKUP($A228,Sheet1!$A:$AN,3,0),""))</f>
        <v/>
      </c>
      <c r="D228" s="5" t="str">
        <f t="shared" si="16"/>
        <v/>
      </c>
      <c r="I228" s="5" t="str">
        <f t="shared" si="17"/>
        <v/>
      </c>
      <c r="M228" s="5" t="str">
        <f t="shared" si="18"/>
        <v/>
      </c>
      <c r="R228" s="5" t="str">
        <f>IF($A228="","",IFERROR(VLOOKUP($A228,Sheet1!A:AN,18,0),""))</f>
        <v/>
      </c>
      <c r="S228" s="5" t="str">
        <f>IF($A228="","",IFERROR(VLOOKUP($A228,Sheet1!$A:$AN,19,0),""))</f>
        <v/>
      </c>
      <c r="T228" s="5" t="str">
        <f t="shared" si="19"/>
        <v/>
      </c>
      <c r="U228" s="5" t="str">
        <f>IF($A228="","",IFERROR(VLOOKUP($A228,Sheet1!$A:$AN,21,0),""))</f>
        <v/>
      </c>
      <c r="V228" s="5" t="str">
        <f>IF($A228="","",IFERROR(SUBSTITUTE(VLOOKUP($A228,Sheet1!$A:$AN,22,0),"族",""),""))</f>
        <v/>
      </c>
      <c r="W228" s="5" t="str">
        <f>IF($A228="","",IFERROR(VLOOKUP($A228,Sheet1!$A:$AN,23,0),""))</f>
        <v/>
      </c>
      <c r="X228" s="5" t="str">
        <f>IF($A228="","",IFERROR(VLOOKUP($A228,Sheet1!$A:$AN,24,0),""))</f>
        <v/>
      </c>
      <c r="Y228" s="5" t="str">
        <f>IF($A228="","",IFERROR(VLOOKUP($A228,Sheet1!$A:$AN,25,0),""))</f>
        <v/>
      </c>
      <c r="AK228" s="5" t="str">
        <f>IF($A228="","",IFERROR(VLOOKUP($A228,Sheet1!$A:$AN,37,0),""))</f>
        <v/>
      </c>
      <c r="AL228" s="13" t="str">
        <f>IF($A228="","",IFERROR(VLOOKUP($A228,Sheet1!$A:$AN,38,0),""))</f>
        <v/>
      </c>
      <c r="AM228" s="13" t="str">
        <f>IF($A228="","",IFERROR(VLOOKUP($A228,Sheet1!$A:$AN,39,0),""))</f>
        <v/>
      </c>
      <c r="AN228" s="13" t="str">
        <f>IF($A228="","",IFERROR(VLOOKUP($A228,Sheet1!$A:$AN,40,0),""))</f>
        <v/>
      </c>
    </row>
    <row r="229" customHeight="1" spans="1:40">
      <c r="A229" s="5" t="str">
        <f>IF(Sheet1!$A229="","",Sheet1!$A229)</f>
        <v/>
      </c>
      <c r="B229" s="5" t="str">
        <f t="shared" si="15"/>
        <v/>
      </c>
      <c r="C229" s="5" t="str">
        <f>IF($A229="","",IFERROR(VLOOKUP($A229,Sheet1!$A:$AN,3,0),""))</f>
        <v/>
      </c>
      <c r="D229" s="5" t="str">
        <f t="shared" si="16"/>
        <v/>
      </c>
      <c r="I229" s="5" t="str">
        <f t="shared" si="17"/>
        <v/>
      </c>
      <c r="M229" s="5" t="str">
        <f t="shared" si="18"/>
        <v/>
      </c>
      <c r="R229" s="5" t="str">
        <f>IF($A229="","",IFERROR(VLOOKUP($A229,Sheet1!A:AN,18,0),""))</f>
        <v/>
      </c>
      <c r="S229" s="5" t="str">
        <f>IF($A229="","",IFERROR(VLOOKUP($A229,Sheet1!$A:$AN,19,0),""))</f>
        <v/>
      </c>
      <c r="T229" s="5" t="str">
        <f t="shared" si="19"/>
        <v/>
      </c>
      <c r="U229" s="5" t="str">
        <f>IF($A229="","",IFERROR(VLOOKUP($A229,Sheet1!$A:$AN,21,0),""))</f>
        <v/>
      </c>
      <c r="V229" s="5" t="str">
        <f>IF($A229="","",IFERROR(SUBSTITUTE(VLOOKUP($A229,Sheet1!$A:$AN,22,0),"族",""),""))</f>
        <v/>
      </c>
      <c r="W229" s="5" t="str">
        <f>IF($A229="","",IFERROR(VLOOKUP($A229,Sheet1!$A:$AN,23,0),""))</f>
        <v/>
      </c>
      <c r="X229" s="5" t="str">
        <f>IF($A229="","",IFERROR(VLOOKUP($A229,Sheet1!$A:$AN,24,0),""))</f>
        <v/>
      </c>
      <c r="Y229" s="5" t="str">
        <f>IF($A229="","",IFERROR(VLOOKUP($A229,Sheet1!$A:$AN,25,0),""))</f>
        <v/>
      </c>
      <c r="AK229" s="5" t="str">
        <f>IF($A229="","",IFERROR(VLOOKUP($A229,Sheet1!$A:$AN,37,0),""))</f>
        <v/>
      </c>
      <c r="AL229" s="13" t="str">
        <f>IF($A229="","",IFERROR(VLOOKUP($A229,Sheet1!$A:$AN,38,0),""))</f>
        <v/>
      </c>
      <c r="AM229" s="13" t="str">
        <f>IF($A229="","",IFERROR(VLOOKUP($A229,Sheet1!$A:$AN,39,0),""))</f>
        <v/>
      </c>
      <c r="AN229" s="13" t="str">
        <f>IF($A229="","",IFERROR(VLOOKUP($A229,Sheet1!$A:$AN,40,0),""))</f>
        <v/>
      </c>
    </row>
    <row r="230" customHeight="1" spans="1:40">
      <c r="A230" s="5" t="str">
        <f>IF(Sheet1!$A230="","",Sheet1!$A230)</f>
        <v/>
      </c>
      <c r="B230" s="5" t="str">
        <f t="shared" si="15"/>
        <v/>
      </c>
      <c r="C230" s="5" t="str">
        <f>IF($A230="","",IFERROR(VLOOKUP($A230,Sheet1!$A:$AN,3,0),""))</f>
        <v/>
      </c>
      <c r="D230" s="5" t="str">
        <f t="shared" si="16"/>
        <v/>
      </c>
      <c r="I230" s="5" t="str">
        <f t="shared" si="17"/>
        <v/>
      </c>
      <c r="M230" s="5" t="str">
        <f t="shared" si="18"/>
        <v/>
      </c>
      <c r="R230" s="5" t="str">
        <f>IF($A230="","",IFERROR(VLOOKUP($A230,Sheet1!A:AN,18,0),""))</f>
        <v/>
      </c>
      <c r="S230" s="5" t="str">
        <f>IF($A230="","",IFERROR(VLOOKUP($A230,Sheet1!$A:$AN,19,0),""))</f>
        <v/>
      </c>
      <c r="T230" s="5" t="str">
        <f t="shared" si="19"/>
        <v/>
      </c>
      <c r="U230" s="5" t="str">
        <f>IF($A230="","",IFERROR(VLOOKUP($A230,Sheet1!$A:$AN,21,0),""))</f>
        <v/>
      </c>
      <c r="V230" s="5" t="str">
        <f>IF($A230="","",IFERROR(SUBSTITUTE(VLOOKUP($A230,Sheet1!$A:$AN,22,0),"族",""),""))</f>
        <v/>
      </c>
      <c r="W230" s="5" t="str">
        <f>IF($A230="","",IFERROR(VLOOKUP($A230,Sheet1!$A:$AN,23,0),""))</f>
        <v/>
      </c>
      <c r="X230" s="5" t="str">
        <f>IF($A230="","",IFERROR(VLOOKUP($A230,Sheet1!$A:$AN,24,0),""))</f>
        <v/>
      </c>
      <c r="Y230" s="5" t="str">
        <f>IF($A230="","",IFERROR(VLOOKUP($A230,Sheet1!$A:$AN,25,0),""))</f>
        <v/>
      </c>
      <c r="AK230" s="5" t="str">
        <f>IF($A230="","",IFERROR(VLOOKUP($A230,Sheet1!$A:$AN,37,0),""))</f>
        <v/>
      </c>
      <c r="AL230" s="13" t="str">
        <f>IF($A230="","",IFERROR(VLOOKUP($A230,Sheet1!$A:$AN,38,0),""))</f>
        <v/>
      </c>
      <c r="AM230" s="13" t="str">
        <f>IF($A230="","",IFERROR(VLOOKUP($A230,Sheet1!$A:$AN,39,0),""))</f>
        <v/>
      </c>
      <c r="AN230" s="13" t="str">
        <f>IF($A230="","",IFERROR(VLOOKUP($A230,Sheet1!$A:$AN,40,0),""))</f>
        <v/>
      </c>
    </row>
    <row r="231" customHeight="1" spans="1:40">
      <c r="A231" s="5" t="str">
        <f>IF(Sheet1!$A231="","",Sheet1!$A231)</f>
        <v/>
      </c>
      <c r="B231" s="5" t="str">
        <f t="shared" si="15"/>
        <v/>
      </c>
      <c r="C231" s="5" t="str">
        <f>IF($A231="","",IFERROR(VLOOKUP($A231,Sheet1!$A:$AN,3,0),""))</f>
        <v/>
      </c>
      <c r="D231" s="5" t="str">
        <f t="shared" si="16"/>
        <v/>
      </c>
      <c r="I231" s="5" t="str">
        <f t="shared" si="17"/>
        <v/>
      </c>
      <c r="M231" s="5" t="str">
        <f t="shared" si="18"/>
        <v/>
      </c>
      <c r="R231" s="5" t="str">
        <f>IF($A231="","",IFERROR(VLOOKUP($A231,Sheet1!A:AN,18,0),""))</f>
        <v/>
      </c>
      <c r="S231" s="5" t="str">
        <f>IF($A231="","",IFERROR(VLOOKUP($A231,Sheet1!$A:$AN,19,0),""))</f>
        <v/>
      </c>
      <c r="T231" s="5" t="str">
        <f t="shared" si="19"/>
        <v/>
      </c>
      <c r="U231" s="5" t="str">
        <f>IF($A231="","",IFERROR(VLOOKUP($A231,Sheet1!$A:$AN,21,0),""))</f>
        <v/>
      </c>
      <c r="V231" s="5" t="str">
        <f>IF($A231="","",IFERROR(SUBSTITUTE(VLOOKUP($A231,Sheet1!$A:$AN,22,0),"族",""),""))</f>
        <v/>
      </c>
      <c r="W231" s="5" t="str">
        <f>IF($A231="","",IFERROR(VLOOKUP($A231,Sheet1!$A:$AN,23,0),""))</f>
        <v/>
      </c>
      <c r="X231" s="5" t="str">
        <f>IF($A231="","",IFERROR(VLOOKUP($A231,Sheet1!$A:$AN,24,0),""))</f>
        <v/>
      </c>
      <c r="Y231" s="5" t="str">
        <f>IF($A231="","",IFERROR(VLOOKUP($A231,Sheet1!$A:$AN,25,0),""))</f>
        <v/>
      </c>
      <c r="AK231" s="5" t="str">
        <f>IF($A231="","",IFERROR(VLOOKUP($A231,Sheet1!$A:$AN,37,0),""))</f>
        <v/>
      </c>
      <c r="AL231" s="13" t="str">
        <f>IF($A231="","",IFERROR(VLOOKUP($A231,Sheet1!$A:$AN,38,0),""))</f>
        <v/>
      </c>
      <c r="AM231" s="13" t="str">
        <f>IF($A231="","",IFERROR(VLOOKUP($A231,Sheet1!$A:$AN,39,0),""))</f>
        <v/>
      </c>
      <c r="AN231" s="13" t="str">
        <f>IF($A231="","",IFERROR(VLOOKUP($A231,Sheet1!$A:$AN,40,0),""))</f>
        <v/>
      </c>
    </row>
    <row r="232" customHeight="1" spans="1:40">
      <c r="A232" s="5" t="str">
        <f>IF(Sheet1!$A232="","",Sheet1!$A232)</f>
        <v/>
      </c>
      <c r="B232" s="5" t="str">
        <f t="shared" si="15"/>
        <v/>
      </c>
      <c r="C232" s="5" t="str">
        <f>IF($A232="","",IFERROR(VLOOKUP($A232,Sheet1!$A:$AN,3,0),""))</f>
        <v/>
      </c>
      <c r="D232" s="5" t="str">
        <f t="shared" si="16"/>
        <v/>
      </c>
      <c r="I232" s="5" t="str">
        <f t="shared" si="17"/>
        <v/>
      </c>
      <c r="M232" s="5" t="str">
        <f t="shared" si="18"/>
        <v/>
      </c>
      <c r="R232" s="5" t="str">
        <f>IF($A232="","",IFERROR(VLOOKUP($A232,Sheet1!A:AN,18,0),""))</f>
        <v/>
      </c>
      <c r="S232" s="5" t="str">
        <f>IF($A232="","",IFERROR(VLOOKUP($A232,Sheet1!$A:$AN,19,0),""))</f>
        <v/>
      </c>
      <c r="T232" s="5" t="str">
        <f t="shared" si="19"/>
        <v/>
      </c>
      <c r="U232" s="5" t="str">
        <f>IF($A232="","",IFERROR(VLOOKUP($A232,Sheet1!$A:$AN,21,0),""))</f>
        <v/>
      </c>
      <c r="V232" s="5" t="str">
        <f>IF($A232="","",IFERROR(SUBSTITUTE(VLOOKUP($A232,Sheet1!$A:$AN,22,0),"族",""),""))</f>
        <v/>
      </c>
      <c r="W232" s="5" t="str">
        <f>IF($A232="","",IFERROR(VLOOKUP($A232,Sheet1!$A:$AN,23,0),""))</f>
        <v/>
      </c>
      <c r="X232" s="5" t="str">
        <f>IF($A232="","",IFERROR(VLOOKUP($A232,Sheet1!$A:$AN,24,0),""))</f>
        <v/>
      </c>
      <c r="Y232" s="5" t="str">
        <f>IF($A232="","",IFERROR(VLOOKUP($A232,Sheet1!$A:$AN,25,0),""))</f>
        <v/>
      </c>
      <c r="AK232" s="5" t="str">
        <f>IF($A232="","",IFERROR(VLOOKUP($A232,Sheet1!$A:$AN,37,0),""))</f>
        <v/>
      </c>
      <c r="AL232" s="13" t="str">
        <f>IF($A232="","",IFERROR(VLOOKUP($A232,Sheet1!$A:$AN,38,0),""))</f>
        <v/>
      </c>
      <c r="AM232" s="13" t="str">
        <f>IF($A232="","",IFERROR(VLOOKUP($A232,Sheet1!$A:$AN,39,0),""))</f>
        <v/>
      </c>
      <c r="AN232" s="13" t="str">
        <f>IF($A232="","",IFERROR(VLOOKUP($A232,Sheet1!$A:$AN,40,0),""))</f>
        <v/>
      </c>
    </row>
    <row r="233" customHeight="1" spans="1:40">
      <c r="A233" s="5" t="str">
        <f>IF(Sheet1!$A233="","",Sheet1!$A233)</f>
        <v/>
      </c>
      <c r="B233" s="5" t="str">
        <f t="shared" si="15"/>
        <v/>
      </c>
      <c r="C233" s="5" t="str">
        <f>IF($A233="","",IFERROR(VLOOKUP($A233,Sheet1!$A:$AN,3,0),""))</f>
        <v/>
      </c>
      <c r="D233" s="5" t="str">
        <f t="shared" si="16"/>
        <v/>
      </c>
      <c r="I233" s="5" t="str">
        <f t="shared" si="17"/>
        <v/>
      </c>
      <c r="M233" s="5" t="str">
        <f t="shared" si="18"/>
        <v/>
      </c>
      <c r="R233" s="5" t="str">
        <f>IF($A233="","",IFERROR(VLOOKUP($A233,Sheet1!A:AN,18,0),""))</f>
        <v/>
      </c>
      <c r="S233" s="5" t="str">
        <f>IF($A233="","",IFERROR(VLOOKUP($A233,Sheet1!$A:$AN,19,0),""))</f>
        <v/>
      </c>
      <c r="T233" s="5" t="str">
        <f t="shared" si="19"/>
        <v/>
      </c>
      <c r="U233" s="5" t="str">
        <f>IF($A233="","",IFERROR(VLOOKUP($A233,Sheet1!$A:$AN,21,0),""))</f>
        <v/>
      </c>
      <c r="V233" s="5" t="str">
        <f>IF($A233="","",IFERROR(SUBSTITUTE(VLOOKUP($A233,Sheet1!$A:$AN,22,0),"族",""),""))</f>
        <v/>
      </c>
      <c r="W233" s="5" t="str">
        <f>IF($A233="","",IFERROR(VLOOKUP($A233,Sheet1!$A:$AN,23,0),""))</f>
        <v/>
      </c>
      <c r="X233" s="5" t="str">
        <f>IF($A233="","",IFERROR(VLOOKUP($A233,Sheet1!$A:$AN,24,0),""))</f>
        <v/>
      </c>
      <c r="Y233" s="5" t="str">
        <f>IF($A233="","",IFERROR(VLOOKUP($A233,Sheet1!$A:$AN,25,0),""))</f>
        <v/>
      </c>
      <c r="AK233" s="5" t="str">
        <f>IF($A233="","",IFERROR(VLOOKUP($A233,Sheet1!$A:$AN,37,0),""))</f>
        <v/>
      </c>
      <c r="AL233" s="13" t="str">
        <f>IF($A233="","",IFERROR(VLOOKUP($A233,Sheet1!$A:$AN,38,0),""))</f>
        <v/>
      </c>
      <c r="AM233" s="13" t="str">
        <f>IF($A233="","",IFERROR(VLOOKUP($A233,Sheet1!$A:$AN,39,0),""))</f>
        <v/>
      </c>
      <c r="AN233" s="13" t="str">
        <f>IF($A233="","",IFERROR(VLOOKUP($A233,Sheet1!$A:$AN,40,0),""))</f>
        <v/>
      </c>
    </row>
    <row r="234" customHeight="1" spans="1:40">
      <c r="A234" s="5" t="str">
        <f>IF(Sheet1!$A234="","",Sheet1!$A234)</f>
        <v/>
      </c>
      <c r="B234" s="5" t="str">
        <f t="shared" si="15"/>
        <v/>
      </c>
      <c r="C234" s="5" t="str">
        <f>IF($A234="","",IFERROR(VLOOKUP($A234,Sheet1!$A:$AN,3,0),""))</f>
        <v/>
      </c>
      <c r="D234" s="5" t="str">
        <f t="shared" si="16"/>
        <v/>
      </c>
      <c r="I234" s="5" t="str">
        <f t="shared" si="17"/>
        <v/>
      </c>
      <c r="M234" s="5" t="str">
        <f t="shared" si="18"/>
        <v/>
      </c>
      <c r="R234" s="5" t="str">
        <f>IF($A234="","",IFERROR(VLOOKUP($A234,Sheet1!A:AN,18,0),""))</f>
        <v/>
      </c>
      <c r="S234" s="5" t="str">
        <f>IF($A234="","",IFERROR(VLOOKUP($A234,Sheet1!$A:$AN,19,0),""))</f>
        <v/>
      </c>
      <c r="T234" s="5" t="str">
        <f t="shared" si="19"/>
        <v/>
      </c>
      <c r="U234" s="5" t="str">
        <f>IF($A234="","",IFERROR(VLOOKUP($A234,Sheet1!$A:$AN,21,0),""))</f>
        <v/>
      </c>
      <c r="V234" s="5" t="str">
        <f>IF($A234="","",IFERROR(SUBSTITUTE(VLOOKUP($A234,Sheet1!$A:$AN,22,0),"族",""),""))</f>
        <v/>
      </c>
      <c r="W234" s="5" t="str">
        <f>IF($A234="","",IFERROR(VLOOKUP($A234,Sheet1!$A:$AN,23,0),""))</f>
        <v/>
      </c>
      <c r="X234" s="5" t="str">
        <f>IF($A234="","",IFERROR(VLOOKUP($A234,Sheet1!$A:$AN,24,0),""))</f>
        <v/>
      </c>
      <c r="Y234" s="5" t="str">
        <f>IF($A234="","",IFERROR(VLOOKUP($A234,Sheet1!$A:$AN,25,0),""))</f>
        <v/>
      </c>
      <c r="AK234" s="5" t="str">
        <f>IF($A234="","",IFERROR(VLOOKUP($A234,Sheet1!$A:$AN,37,0),""))</f>
        <v/>
      </c>
      <c r="AL234" s="13" t="str">
        <f>IF($A234="","",IFERROR(VLOOKUP($A234,Sheet1!$A:$AN,38,0),""))</f>
        <v/>
      </c>
      <c r="AM234" s="13" t="str">
        <f>IF($A234="","",IFERROR(VLOOKUP($A234,Sheet1!$A:$AN,39,0),""))</f>
        <v/>
      </c>
      <c r="AN234" s="13" t="str">
        <f>IF($A234="","",IFERROR(VLOOKUP($A234,Sheet1!$A:$AN,40,0),""))</f>
        <v/>
      </c>
    </row>
    <row r="235" customHeight="1" spans="1:40">
      <c r="A235" s="5" t="str">
        <f>IF(Sheet1!$A235="","",Sheet1!$A235)</f>
        <v/>
      </c>
      <c r="B235" s="5" t="str">
        <f t="shared" si="15"/>
        <v/>
      </c>
      <c r="C235" s="5" t="str">
        <f>IF($A235="","",IFERROR(VLOOKUP($A235,Sheet1!$A:$AN,3,0),""))</f>
        <v/>
      </c>
      <c r="D235" s="5" t="str">
        <f t="shared" si="16"/>
        <v/>
      </c>
      <c r="I235" s="5" t="str">
        <f t="shared" si="17"/>
        <v/>
      </c>
      <c r="M235" s="5" t="str">
        <f t="shared" si="18"/>
        <v/>
      </c>
      <c r="R235" s="5" t="str">
        <f>IF($A235="","",IFERROR(VLOOKUP($A235,Sheet1!A:AN,18,0),""))</f>
        <v/>
      </c>
      <c r="S235" s="5" t="str">
        <f>IF($A235="","",IFERROR(VLOOKUP($A235,Sheet1!$A:$AN,19,0),""))</f>
        <v/>
      </c>
      <c r="T235" s="5" t="str">
        <f t="shared" si="19"/>
        <v/>
      </c>
      <c r="U235" s="5" t="str">
        <f>IF($A235="","",IFERROR(VLOOKUP($A235,Sheet1!$A:$AN,21,0),""))</f>
        <v/>
      </c>
      <c r="V235" s="5" t="str">
        <f>IF($A235="","",IFERROR(SUBSTITUTE(VLOOKUP($A235,Sheet1!$A:$AN,22,0),"族",""),""))</f>
        <v/>
      </c>
      <c r="W235" s="5" t="str">
        <f>IF($A235="","",IFERROR(VLOOKUP($A235,Sheet1!$A:$AN,23,0),""))</f>
        <v/>
      </c>
      <c r="X235" s="5" t="str">
        <f>IF($A235="","",IFERROR(VLOOKUP($A235,Sheet1!$A:$AN,24,0),""))</f>
        <v/>
      </c>
      <c r="Y235" s="5" t="str">
        <f>IF($A235="","",IFERROR(VLOOKUP($A235,Sheet1!$A:$AN,25,0),""))</f>
        <v/>
      </c>
      <c r="AK235" s="5" t="str">
        <f>IF($A235="","",IFERROR(VLOOKUP($A235,Sheet1!$A:$AN,37,0),""))</f>
        <v/>
      </c>
      <c r="AL235" s="13" t="str">
        <f>IF($A235="","",IFERROR(VLOOKUP($A235,Sheet1!$A:$AN,38,0),""))</f>
        <v/>
      </c>
      <c r="AM235" s="13" t="str">
        <f>IF($A235="","",IFERROR(VLOOKUP($A235,Sheet1!$A:$AN,39,0),""))</f>
        <v/>
      </c>
      <c r="AN235" s="13" t="str">
        <f>IF($A235="","",IFERROR(VLOOKUP($A235,Sheet1!$A:$AN,40,0),""))</f>
        <v/>
      </c>
    </row>
    <row r="236" customHeight="1" spans="1:40">
      <c r="A236" s="5" t="str">
        <f>IF(Sheet1!$A236="","",Sheet1!$A236)</f>
        <v/>
      </c>
      <c r="B236" s="5" t="str">
        <f t="shared" si="15"/>
        <v/>
      </c>
      <c r="C236" s="5" t="str">
        <f>IF($A236="","",IFERROR(VLOOKUP($A236,Sheet1!$A:$AN,3,0),""))</f>
        <v/>
      </c>
      <c r="D236" s="5" t="str">
        <f t="shared" si="16"/>
        <v/>
      </c>
      <c r="I236" s="5" t="str">
        <f t="shared" si="17"/>
        <v/>
      </c>
      <c r="M236" s="5" t="str">
        <f t="shared" si="18"/>
        <v/>
      </c>
      <c r="R236" s="5" t="str">
        <f>IF($A236="","",IFERROR(VLOOKUP($A236,Sheet1!A:AN,18,0),""))</f>
        <v/>
      </c>
      <c r="S236" s="5" t="str">
        <f>IF($A236="","",IFERROR(VLOOKUP($A236,Sheet1!$A:$AN,19,0),""))</f>
        <v/>
      </c>
      <c r="T236" s="5" t="str">
        <f t="shared" si="19"/>
        <v/>
      </c>
      <c r="U236" s="5" t="str">
        <f>IF($A236="","",IFERROR(VLOOKUP($A236,Sheet1!$A:$AN,21,0),""))</f>
        <v/>
      </c>
      <c r="V236" s="5" t="str">
        <f>IF($A236="","",IFERROR(SUBSTITUTE(VLOOKUP($A236,Sheet1!$A:$AN,22,0),"族",""),""))</f>
        <v/>
      </c>
      <c r="W236" s="5" t="str">
        <f>IF($A236="","",IFERROR(VLOOKUP($A236,Sheet1!$A:$AN,23,0),""))</f>
        <v/>
      </c>
      <c r="X236" s="5" t="str">
        <f>IF($A236="","",IFERROR(VLOOKUP($A236,Sheet1!$A:$AN,24,0),""))</f>
        <v/>
      </c>
      <c r="Y236" s="5" t="str">
        <f>IF($A236="","",IFERROR(VLOOKUP($A236,Sheet1!$A:$AN,25,0),""))</f>
        <v/>
      </c>
      <c r="AK236" s="5" t="str">
        <f>IF($A236="","",IFERROR(VLOOKUP($A236,Sheet1!$A:$AN,37,0),""))</f>
        <v/>
      </c>
      <c r="AL236" s="13" t="str">
        <f>IF($A236="","",IFERROR(VLOOKUP($A236,Sheet1!$A:$AN,38,0),""))</f>
        <v/>
      </c>
      <c r="AM236" s="13" t="str">
        <f>IF($A236="","",IFERROR(VLOOKUP($A236,Sheet1!$A:$AN,39,0),""))</f>
        <v/>
      </c>
      <c r="AN236" s="13" t="str">
        <f>IF($A236="","",IFERROR(VLOOKUP($A236,Sheet1!$A:$AN,40,0),""))</f>
        <v/>
      </c>
    </row>
    <row r="237" customHeight="1" spans="1:40">
      <c r="A237" s="5" t="str">
        <f>IF(Sheet1!$A237="","",Sheet1!$A237)</f>
        <v/>
      </c>
      <c r="B237" s="5" t="str">
        <f t="shared" si="15"/>
        <v/>
      </c>
      <c r="C237" s="5" t="str">
        <f>IF($A237="","",IFERROR(VLOOKUP($A237,Sheet1!$A:$AN,3,0),""))</f>
        <v/>
      </c>
      <c r="D237" s="5" t="str">
        <f t="shared" si="16"/>
        <v/>
      </c>
      <c r="I237" s="5" t="str">
        <f t="shared" si="17"/>
        <v/>
      </c>
      <c r="M237" s="5" t="str">
        <f t="shared" si="18"/>
        <v/>
      </c>
      <c r="R237" s="5" t="str">
        <f>IF($A237="","",IFERROR(VLOOKUP($A237,Sheet1!A:AN,18,0),""))</f>
        <v/>
      </c>
      <c r="S237" s="5" t="str">
        <f>IF($A237="","",IFERROR(VLOOKUP($A237,Sheet1!$A:$AN,19,0),""))</f>
        <v/>
      </c>
      <c r="T237" s="5" t="str">
        <f t="shared" si="19"/>
        <v/>
      </c>
      <c r="U237" s="5" t="str">
        <f>IF($A237="","",IFERROR(VLOOKUP($A237,Sheet1!$A:$AN,21,0),""))</f>
        <v/>
      </c>
      <c r="V237" s="5" t="str">
        <f>IF($A237="","",IFERROR(SUBSTITUTE(VLOOKUP($A237,Sheet1!$A:$AN,22,0),"族",""),""))</f>
        <v/>
      </c>
      <c r="W237" s="5" t="str">
        <f>IF($A237="","",IFERROR(VLOOKUP($A237,Sheet1!$A:$AN,23,0),""))</f>
        <v/>
      </c>
      <c r="X237" s="5" t="str">
        <f>IF($A237="","",IFERROR(VLOOKUP($A237,Sheet1!$A:$AN,24,0),""))</f>
        <v/>
      </c>
      <c r="Y237" s="5" t="str">
        <f>IF($A237="","",IFERROR(VLOOKUP($A237,Sheet1!$A:$AN,25,0),""))</f>
        <v/>
      </c>
      <c r="AK237" s="5" t="str">
        <f>IF($A237="","",IFERROR(VLOOKUP($A237,Sheet1!$A:$AN,37,0),""))</f>
        <v/>
      </c>
      <c r="AL237" s="13" t="str">
        <f>IF($A237="","",IFERROR(VLOOKUP($A237,Sheet1!$A:$AN,38,0),""))</f>
        <v/>
      </c>
      <c r="AM237" s="13" t="str">
        <f>IF($A237="","",IFERROR(VLOOKUP($A237,Sheet1!$A:$AN,39,0),""))</f>
        <v/>
      </c>
      <c r="AN237" s="13" t="str">
        <f>IF($A237="","",IFERROR(VLOOKUP($A237,Sheet1!$A:$AN,40,0),""))</f>
        <v/>
      </c>
    </row>
    <row r="238" customHeight="1" spans="1:40">
      <c r="A238" s="5" t="str">
        <f>IF(Sheet1!$A238="","",Sheet1!$A238)</f>
        <v/>
      </c>
      <c r="B238" s="5" t="str">
        <f t="shared" si="15"/>
        <v/>
      </c>
      <c r="C238" s="5" t="str">
        <f>IF($A238="","",IFERROR(VLOOKUP($A238,Sheet1!$A:$AN,3,0),""))</f>
        <v/>
      </c>
      <c r="D238" s="5" t="str">
        <f t="shared" si="16"/>
        <v/>
      </c>
      <c r="I238" s="5" t="str">
        <f t="shared" si="17"/>
        <v/>
      </c>
      <c r="M238" s="5" t="str">
        <f t="shared" si="18"/>
        <v/>
      </c>
      <c r="R238" s="5" t="str">
        <f>IF($A238="","",IFERROR(VLOOKUP($A238,Sheet1!A:AN,18,0),""))</f>
        <v/>
      </c>
      <c r="S238" s="5" t="str">
        <f>IF($A238="","",IFERROR(VLOOKUP($A238,Sheet1!$A:$AN,19,0),""))</f>
        <v/>
      </c>
      <c r="T238" s="5" t="str">
        <f t="shared" si="19"/>
        <v/>
      </c>
      <c r="U238" s="5" t="str">
        <f>IF($A238="","",IFERROR(VLOOKUP($A238,Sheet1!$A:$AN,21,0),""))</f>
        <v/>
      </c>
      <c r="V238" s="5" t="str">
        <f>IF($A238="","",IFERROR(SUBSTITUTE(VLOOKUP($A238,Sheet1!$A:$AN,22,0),"族",""),""))</f>
        <v/>
      </c>
      <c r="W238" s="5" t="str">
        <f>IF($A238="","",IFERROR(VLOOKUP($A238,Sheet1!$A:$AN,23,0),""))</f>
        <v/>
      </c>
      <c r="X238" s="5" t="str">
        <f>IF($A238="","",IFERROR(VLOOKUP($A238,Sheet1!$A:$AN,24,0),""))</f>
        <v/>
      </c>
      <c r="Y238" s="5" t="str">
        <f>IF($A238="","",IFERROR(VLOOKUP($A238,Sheet1!$A:$AN,25,0),""))</f>
        <v/>
      </c>
      <c r="AK238" s="5" t="str">
        <f>IF($A238="","",IFERROR(VLOOKUP($A238,Sheet1!$A:$AN,37,0),""))</f>
        <v/>
      </c>
      <c r="AL238" s="13" t="str">
        <f>IF($A238="","",IFERROR(VLOOKUP($A238,Sheet1!$A:$AN,38,0),""))</f>
        <v/>
      </c>
      <c r="AM238" s="13" t="str">
        <f>IF($A238="","",IFERROR(VLOOKUP($A238,Sheet1!$A:$AN,39,0),""))</f>
        <v/>
      </c>
      <c r="AN238" s="13" t="str">
        <f>IF($A238="","",IFERROR(VLOOKUP($A238,Sheet1!$A:$AN,40,0),""))</f>
        <v/>
      </c>
    </row>
    <row r="239" customHeight="1" spans="1:40">
      <c r="A239" s="5" t="str">
        <f>IF(Sheet1!$A239="","",Sheet1!$A239)</f>
        <v/>
      </c>
      <c r="B239" s="5" t="str">
        <f t="shared" si="15"/>
        <v/>
      </c>
      <c r="C239" s="5" t="str">
        <f>IF($A239="","",IFERROR(VLOOKUP($A239,Sheet1!$A:$AN,3,0),""))</f>
        <v/>
      </c>
      <c r="D239" s="5" t="str">
        <f t="shared" si="16"/>
        <v/>
      </c>
      <c r="I239" s="5" t="str">
        <f t="shared" si="17"/>
        <v/>
      </c>
      <c r="M239" s="5" t="str">
        <f t="shared" si="18"/>
        <v/>
      </c>
      <c r="R239" s="5" t="str">
        <f>IF($A239="","",IFERROR(VLOOKUP($A239,Sheet1!A:AN,18,0),""))</f>
        <v/>
      </c>
      <c r="S239" s="5" t="str">
        <f>IF($A239="","",IFERROR(VLOOKUP($A239,Sheet1!$A:$AN,19,0),""))</f>
        <v/>
      </c>
      <c r="T239" s="5" t="str">
        <f t="shared" si="19"/>
        <v/>
      </c>
      <c r="U239" s="5" t="str">
        <f>IF($A239="","",IFERROR(VLOOKUP($A239,Sheet1!$A:$AN,21,0),""))</f>
        <v/>
      </c>
      <c r="V239" s="5" t="str">
        <f>IF($A239="","",IFERROR(SUBSTITUTE(VLOOKUP($A239,Sheet1!$A:$AN,22,0),"族",""),""))</f>
        <v/>
      </c>
      <c r="W239" s="5" t="str">
        <f>IF($A239="","",IFERROR(VLOOKUP($A239,Sheet1!$A:$AN,23,0),""))</f>
        <v/>
      </c>
      <c r="X239" s="5" t="str">
        <f>IF($A239="","",IFERROR(VLOOKUP($A239,Sheet1!$A:$AN,24,0),""))</f>
        <v/>
      </c>
      <c r="Y239" s="5" t="str">
        <f>IF($A239="","",IFERROR(VLOOKUP($A239,Sheet1!$A:$AN,25,0),""))</f>
        <v/>
      </c>
      <c r="AK239" s="5" t="str">
        <f>IF($A239="","",IFERROR(VLOOKUP($A239,Sheet1!$A:$AN,37,0),""))</f>
        <v/>
      </c>
      <c r="AL239" s="13" t="str">
        <f>IF($A239="","",IFERROR(VLOOKUP($A239,Sheet1!$A:$AN,38,0),""))</f>
        <v/>
      </c>
      <c r="AM239" s="13" t="str">
        <f>IF($A239="","",IFERROR(VLOOKUP($A239,Sheet1!$A:$AN,39,0),""))</f>
        <v/>
      </c>
      <c r="AN239" s="13" t="str">
        <f>IF($A239="","",IFERROR(VLOOKUP($A239,Sheet1!$A:$AN,40,0),""))</f>
        <v/>
      </c>
    </row>
    <row r="240" customHeight="1" spans="1:40">
      <c r="A240" s="5" t="str">
        <f>IF(Sheet1!$A240="","",Sheet1!$A240)</f>
        <v/>
      </c>
      <c r="B240" s="5" t="str">
        <f t="shared" si="15"/>
        <v/>
      </c>
      <c r="C240" s="5" t="str">
        <f>IF($A240="","",IFERROR(VLOOKUP($A240,Sheet1!$A:$AN,3,0),""))</f>
        <v/>
      </c>
      <c r="D240" s="5" t="str">
        <f t="shared" si="16"/>
        <v/>
      </c>
      <c r="I240" s="5" t="str">
        <f t="shared" si="17"/>
        <v/>
      </c>
      <c r="M240" s="5" t="str">
        <f t="shared" si="18"/>
        <v/>
      </c>
      <c r="R240" s="5" t="str">
        <f>IF($A240="","",IFERROR(VLOOKUP($A240,Sheet1!A:AN,18,0),""))</f>
        <v/>
      </c>
      <c r="S240" s="5" t="str">
        <f>IF($A240="","",IFERROR(VLOOKUP($A240,Sheet1!$A:$AN,19,0),""))</f>
        <v/>
      </c>
      <c r="T240" s="5" t="str">
        <f t="shared" si="19"/>
        <v/>
      </c>
      <c r="U240" s="5" t="str">
        <f>IF($A240="","",IFERROR(VLOOKUP($A240,Sheet1!$A:$AN,21,0),""))</f>
        <v/>
      </c>
      <c r="V240" s="5" t="str">
        <f>IF($A240="","",IFERROR(SUBSTITUTE(VLOOKUP($A240,Sheet1!$A:$AN,22,0),"族",""),""))</f>
        <v/>
      </c>
      <c r="W240" s="5" t="str">
        <f>IF($A240="","",IFERROR(VLOOKUP($A240,Sheet1!$A:$AN,23,0),""))</f>
        <v/>
      </c>
      <c r="X240" s="5" t="str">
        <f>IF($A240="","",IFERROR(VLOOKUP($A240,Sheet1!$A:$AN,24,0),""))</f>
        <v/>
      </c>
      <c r="Y240" s="5" t="str">
        <f>IF($A240="","",IFERROR(VLOOKUP($A240,Sheet1!$A:$AN,25,0),""))</f>
        <v/>
      </c>
      <c r="AK240" s="5" t="str">
        <f>IF($A240="","",IFERROR(VLOOKUP($A240,Sheet1!$A:$AN,37,0),""))</f>
        <v/>
      </c>
      <c r="AL240" s="13" t="str">
        <f>IF($A240="","",IFERROR(VLOOKUP($A240,Sheet1!$A:$AN,38,0),""))</f>
        <v/>
      </c>
      <c r="AM240" s="13" t="str">
        <f>IF($A240="","",IFERROR(VLOOKUP($A240,Sheet1!$A:$AN,39,0),""))</f>
        <v/>
      </c>
      <c r="AN240" s="13" t="str">
        <f>IF($A240="","",IFERROR(VLOOKUP($A240,Sheet1!$A:$AN,40,0),""))</f>
        <v/>
      </c>
    </row>
    <row r="241" customHeight="1" spans="1:40">
      <c r="A241" s="5" t="str">
        <f>IF(Sheet1!$A241="","",Sheet1!$A241)</f>
        <v/>
      </c>
      <c r="B241" s="5" t="str">
        <f t="shared" si="15"/>
        <v/>
      </c>
      <c r="C241" s="5" t="str">
        <f>IF($A241="","",IFERROR(VLOOKUP($A241,Sheet1!$A:$AN,3,0),""))</f>
        <v/>
      </c>
      <c r="D241" s="5" t="str">
        <f t="shared" si="16"/>
        <v/>
      </c>
      <c r="I241" s="5" t="str">
        <f t="shared" si="17"/>
        <v/>
      </c>
      <c r="M241" s="5" t="str">
        <f t="shared" si="18"/>
        <v/>
      </c>
      <c r="R241" s="5" t="str">
        <f>IF($A241="","",IFERROR(VLOOKUP($A241,Sheet1!A:AN,18,0),""))</f>
        <v/>
      </c>
      <c r="S241" s="5" t="str">
        <f>IF($A241="","",IFERROR(VLOOKUP($A241,Sheet1!$A:$AN,19,0),""))</f>
        <v/>
      </c>
      <c r="T241" s="5" t="str">
        <f t="shared" si="19"/>
        <v/>
      </c>
      <c r="U241" s="5" t="str">
        <f>IF($A241="","",IFERROR(VLOOKUP($A241,Sheet1!$A:$AN,21,0),""))</f>
        <v/>
      </c>
      <c r="V241" s="5" t="str">
        <f>IF($A241="","",IFERROR(SUBSTITUTE(VLOOKUP($A241,Sheet1!$A:$AN,22,0),"族",""),""))</f>
        <v/>
      </c>
      <c r="W241" s="5" t="str">
        <f>IF($A241="","",IFERROR(VLOOKUP($A241,Sheet1!$A:$AN,23,0),""))</f>
        <v/>
      </c>
      <c r="X241" s="5" t="str">
        <f>IF($A241="","",IFERROR(VLOOKUP($A241,Sheet1!$A:$AN,24,0),""))</f>
        <v/>
      </c>
      <c r="Y241" s="5" t="str">
        <f>IF($A241="","",IFERROR(VLOOKUP($A241,Sheet1!$A:$AN,25,0),""))</f>
        <v/>
      </c>
      <c r="AK241" s="5" t="str">
        <f>IF($A241="","",IFERROR(VLOOKUP($A241,Sheet1!$A:$AN,37,0),""))</f>
        <v/>
      </c>
      <c r="AL241" s="13" t="str">
        <f>IF($A241="","",IFERROR(VLOOKUP($A241,Sheet1!$A:$AN,38,0),""))</f>
        <v/>
      </c>
      <c r="AM241" s="13" t="str">
        <f>IF($A241="","",IFERROR(VLOOKUP($A241,Sheet1!$A:$AN,39,0),""))</f>
        <v/>
      </c>
      <c r="AN241" s="13" t="str">
        <f>IF($A241="","",IFERROR(VLOOKUP($A241,Sheet1!$A:$AN,40,0),""))</f>
        <v/>
      </c>
    </row>
    <row r="242" customHeight="1" spans="1:40">
      <c r="A242" s="5" t="str">
        <f>IF(Sheet1!$A242="","",Sheet1!$A242)</f>
        <v/>
      </c>
      <c r="B242" s="5" t="str">
        <f t="shared" si="15"/>
        <v/>
      </c>
      <c r="C242" s="5" t="str">
        <f>IF($A242="","",IFERROR(VLOOKUP($A242,Sheet1!$A:$AN,3,0),""))</f>
        <v/>
      </c>
      <c r="D242" s="5" t="str">
        <f t="shared" si="16"/>
        <v/>
      </c>
      <c r="I242" s="5" t="str">
        <f t="shared" si="17"/>
        <v/>
      </c>
      <c r="M242" s="5" t="str">
        <f t="shared" si="18"/>
        <v/>
      </c>
      <c r="R242" s="5" t="str">
        <f>IF($A242="","",IFERROR(VLOOKUP($A242,Sheet1!A:AN,18,0),""))</f>
        <v/>
      </c>
      <c r="S242" s="5" t="str">
        <f>IF($A242="","",IFERROR(VLOOKUP($A242,Sheet1!$A:$AN,19,0),""))</f>
        <v/>
      </c>
      <c r="T242" s="5" t="str">
        <f t="shared" si="19"/>
        <v/>
      </c>
      <c r="U242" s="5" t="str">
        <f>IF($A242="","",IFERROR(VLOOKUP($A242,Sheet1!$A:$AN,21,0),""))</f>
        <v/>
      </c>
      <c r="V242" s="5" t="str">
        <f>IF($A242="","",IFERROR(SUBSTITUTE(VLOOKUP($A242,Sheet1!$A:$AN,22,0),"族",""),""))</f>
        <v/>
      </c>
      <c r="W242" s="5" t="str">
        <f>IF($A242="","",IFERROR(VLOOKUP($A242,Sheet1!$A:$AN,23,0),""))</f>
        <v/>
      </c>
      <c r="X242" s="5" t="str">
        <f>IF($A242="","",IFERROR(VLOOKUP($A242,Sheet1!$A:$AN,24,0),""))</f>
        <v/>
      </c>
      <c r="Y242" s="5" t="str">
        <f>IF($A242="","",IFERROR(VLOOKUP($A242,Sheet1!$A:$AN,25,0),""))</f>
        <v/>
      </c>
      <c r="AK242" s="5" t="str">
        <f>IF($A242="","",IFERROR(VLOOKUP($A242,Sheet1!$A:$AN,37,0),""))</f>
        <v/>
      </c>
      <c r="AL242" s="13" t="str">
        <f>IF($A242="","",IFERROR(VLOOKUP($A242,Sheet1!$A:$AN,38,0),""))</f>
        <v/>
      </c>
      <c r="AM242" s="13" t="str">
        <f>IF($A242="","",IFERROR(VLOOKUP($A242,Sheet1!$A:$AN,39,0),""))</f>
        <v/>
      </c>
      <c r="AN242" s="13" t="str">
        <f>IF($A242="","",IFERROR(VLOOKUP($A242,Sheet1!$A:$AN,40,0),""))</f>
        <v/>
      </c>
    </row>
    <row r="243" customHeight="1" spans="1:40">
      <c r="A243" s="5" t="str">
        <f>IF(Sheet1!$A243="","",Sheet1!$A243)</f>
        <v/>
      </c>
      <c r="B243" s="5" t="str">
        <f t="shared" si="15"/>
        <v/>
      </c>
      <c r="C243" s="5" t="str">
        <f>IF($A243="","",IFERROR(VLOOKUP($A243,Sheet1!$A:$AN,3,0),""))</f>
        <v/>
      </c>
      <c r="D243" s="5" t="str">
        <f t="shared" si="16"/>
        <v/>
      </c>
      <c r="I243" s="5" t="str">
        <f t="shared" si="17"/>
        <v/>
      </c>
      <c r="M243" s="5" t="str">
        <f t="shared" si="18"/>
        <v/>
      </c>
      <c r="R243" s="5" t="str">
        <f>IF($A243="","",IFERROR(VLOOKUP($A243,Sheet1!A:AN,18,0),""))</f>
        <v/>
      </c>
      <c r="S243" s="5" t="str">
        <f>IF($A243="","",IFERROR(VLOOKUP($A243,Sheet1!$A:$AN,19,0),""))</f>
        <v/>
      </c>
      <c r="T243" s="5" t="str">
        <f t="shared" si="19"/>
        <v/>
      </c>
      <c r="U243" s="5" t="str">
        <f>IF($A243="","",IFERROR(VLOOKUP($A243,Sheet1!$A:$AN,21,0),""))</f>
        <v/>
      </c>
      <c r="V243" s="5" t="str">
        <f>IF($A243="","",IFERROR(SUBSTITUTE(VLOOKUP($A243,Sheet1!$A:$AN,22,0),"族",""),""))</f>
        <v/>
      </c>
      <c r="W243" s="5" t="str">
        <f>IF($A243="","",IFERROR(VLOOKUP($A243,Sheet1!$A:$AN,23,0),""))</f>
        <v/>
      </c>
      <c r="X243" s="5" t="str">
        <f>IF($A243="","",IFERROR(VLOOKUP($A243,Sheet1!$A:$AN,24,0),""))</f>
        <v/>
      </c>
      <c r="Y243" s="5" t="str">
        <f>IF($A243="","",IFERROR(VLOOKUP($A243,Sheet1!$A:$AN,25,0),""))</f>
        <v/>
      </c>
      <c r="AK243" s="5" t="str">
        <f>IF($A243="","",IFERROR(VLOOKUP($A243,Sheet1!$A:$AN,37,0),""))</f>
        <v/>
      </c>
      <c r="AL243" s="13" t="str">
        <f>IF($A243="","",IFERROR(VLOOKUP($A243,Sheet1!$A:$AN,38,0),""))</f>
        <v/>
      </c>
      <c r="AM243" s="13" t="str">
        <f>IF($A243="","",IFERROR(VLOOKUP($A243,Sheet1!$A:$AN,39,0),""))</f>
        <v/>
      </c>
      <c r="AN243" s="13" t="str">
        <f>IF($A243="","",IFERROR(VLOOKUP($A243,Sheet1!$A:$AN,40,0),""))</f>
        <v/>
      </c>
    </row>
    <row r="244" customHeight="1" spans="1:40">
      <c r="A244" s="5" t="str">
        <f>IF(Sheet1!$A244="","",Sheet1!$A244)</f>
        <v/>
      </c>
      <c r="B244" s="5" t="str">
        <f t="shared" si="15"/>
        <v/>
      </c>
      <c r="C244" s="5" t="str">
        <f>IF($A244="","",IFERROR(VLOOKUP($A244,Sheet1!$A:$AN,3,0),""))</f>
        <v/>
      </c>
      <c r="D244" s="5" t="str">
        <f t="shared" si="16"/>
        <v/>
      </c>
      <c r="I244" s="5" t="str">
        <f t="shared" si="17"/>
        <v/>
      </c>
      <c r="M244" s="5" t="str">
        <f t="shared" si="18"/>
        <v/>
      </c>
      <c r="R244" s="5" t="str">
        <f>IF($A244="","",IFERROR(VLOOKUP($A244,Sheet1!A:AN,18,0),""))</f>
        <v/>
      </c>
      <c r="S244" s="5" t="str">
        <f>IF($A244="","",IFERROR(VLOOKUP($A244,Sheet1!$A:$AN,19,0),""))</f>
        <v/>
      </c>
      <c r="T244" s="5" t="str">
        <f t="shared" si="19"/>
        <v/>
      </c>
      <c r="U244" s="5" t="str">
        <f>IF($A244="","",IFERROR(VLOOKUP($A244,Sheet1!$A:$AN,21,0),""))</f>
        <v/>
      </c>
      <c r="V244" s="5" t="str">
        <f>IF($A244="","",IFERROR(SUBSTITUTE(VLOOKUP($A244,Sheet1!$A:$AN,22,0),"族",""),""))</f>
        <v/>
      </c>
      <c r="W244" s="5" t="str">
        <f>IF($A244="","",IFERROR(VLOOKUP($A244,Sheet1!$A:$AN,23,0),""))</f>
        <v/>
      </c>
      <c r="X244" s="5" t="str">
        <f>IF($A244="","",IFERROR(VLOOKUP($A244,Sheet1!$A:$AN,24,0),""))</f>
        <v/>
      </c>
      <c r="Y244" s="5" t="str">
        <f>IF($A244="","",IFERROR(VLOOKUP($A244,Sheet1!$A:$AN,25,0),""))</f>
        <v/>
      </c>
      <c r="AK244" s="5" t="str">
        <f>IF($A244="","",IFERROR(VLOOKUP($A244,Sheet1!$A:$AN,37,0),""))</f>
        <v/>
      </c>
      <c r="AL244" s="13" t="str">
        <f>IF($A244="","",IFERROR(VLOOKUP($A244,Sheet1!$A:$AN,38,0),""))</f>
        <v/>
      </c>
      <c r="AM244" s="13" t="str">
        <f>IF($A244="","",IFERROR(VLOOKUP($A244,Sheet1!$A:$AN,39,0),""))</f>
        <v/>
      </c>
      <c r="AN244" s="13" t="str">
        <f>IF($A244="","",IFERROR(VLOOKUP($A244,Sheet1!$A:$AN,40,0),""))</f>
        <v/>
      </c>
    </row>
    <row r="245" customHeight="1" spans="1:40">
      <c r="A245" s="5" t="str">
        <f>IF(Sheet1!$A245="","",Sheet1!$A245)</f>
        <v/>
      </c>
      <c r="B245" s="5" t="str">
        <f t="shared" si="15"/>
        <v/>
      </c>
      <c r="C245" s="5" t="str">
        <f>IF($A245="","",IFERROR(VLOOKUP($A245,Sheet1!$A:$AN,3,0),""))</f>
        <v/>
      </c>
      <c r="D245" s="5" t="str">
        <f t="shared" si="16"/>
        <v/>
      </c>
      <c r="I245" s="5" t="str">
        <f t="shared" si="17"/>
        <v/>
      </c>
      <c r="M245" s="5" t="str">
        <f t="shared" si="18"/>
        <v/>
      </c>
      <c r="R245" s="5" t="str">
        <f>IF($A245="","",IFERROR(VLOOKUP($A245,Sheet1!A:AN,18,0),""))</f>
        <v/>
      </c>
      <c r="S245" s="5" t="str">
        <f>IF($A245="","",IFERROR(VLOOKUP($A245,Sheet1!$A:$AN,19,0),""))</f>
        <v/>
      </c>
      <c r="T245" s="5" t="str">
        <f t="shared" si="19"/>
        <v/>
      </c>
      <c r="U245" s="5" t="str">
        <f>IF($A245="","",IFERROR(VLOOKUP($A245,Sheet1!$A:$AN,21,0),""))</f>
        <v/>
      </c>
      <c r="V245" s="5" t="str">
        <f>IF($A245="","",IFERROR(SUBSTITUTE(VLOOKUP($A245,Sheet1!$A:$AN,22,0),"族",""),""))</f>
        <v/>
      </c>
      <c r="W245" s="5" t="str">
        <f>IF($A245="","",IFERROR(VLOOKUP($A245,Sheet1!$A:$AN,23,0),""))</f>
        <v/>
      </c>
      <c r="X245" s="5" t="str">
        <f>IF($A245="","",IFERROR(VLOOKUP($A245,Sheet1!$A:$AN,24,0),""))</f>
        <v/>
      </c>
      <c r="Y245" s="5" t="str">
        <f>IF($A245="","",IFERROR(VLOOKUP($A245,Sheet1!$A:$AN,25,0),""))</f>
        <v/>
      </c>
      <c r="AK245" s="5" t="str">
        <f>IF($A245="","",IFERROR(VLOOKUP($A245,Sheet1!$A:$AN,37,0),""))</f>
        <v/>
      </c>
      <c r="AL245" s="13" t="str">
        <f>IF($A245="","",IFERROR(VLOOKUP($A245,Sheet1!$A:$AN,38,0),""))</f>
        <v/>
      </c>
      <c r="AM245" s="13" t="str">
        <f>IF($A245="","",IFERROR(VLOOKUP($A245,Sheet1!$A:$AN,39,0),""))</f>
        <v/>
      </c>
      <c r="AN245" s="13" t="str">
        <f>IF($A245="","",IFERROR(VLOOKUP($A245,Sheet1!$A:$AN,40,0),""))</f>
        <v/>
      </c>
    </row>
    <row r="246" customHeight="1" spans="1:40">
      <c r="A246" s="5" t="str">
        <f>IF(Sheet1!$A246="","",Sheet1!$A246)</f>
        <v/>
      </c>
      <c r="B246" s="5" t="str">
        <f t="shared" si="15"/>
        <v/>
      </c>
      <c r="C246" s="5" t="str">
        <f>IF($A246="","",IFERROR(VLOOKUP($A246,Sheet1!$A:$AN,3,0),""))</f>
        <v/>
      </c>
      <c r="D246" s="5" t="str">
        <f t="shared" si="16"/>
        <v/>
      </c>
      <c r="I246" s="5" t="str">
        <f t="shared" si="17"/>
        <v/>
      </c>
      <c r="M246" s="5" t="str">
        <f t="shared" si="18"/>
        <v/>
      </c>
      <c r="R246" s="5" t="str">
        <f>IF($A246="","",IFERROR(VLOOKUP($A246,Sheet1!A:AN,18,0),""))</f>
        <v/>
      </c>
      <c r="S246" s="5" t="str">
        <f>IF($A246="","",IFERROR(VLOOKUP($A246,Sheet1!$A:$AN,19,0),""))</f>
        <v/>
      </c>
      <c r="T246" s="5" t="str">
        <f t="shared" si="19"/>
        <v/>
      </c>
      <c r="U246" s="5" t="str">
        <f>IF($A246="","",IFERROR(VLOOKUP($A246,Sheet1!$A:$AN,21,0),""))</f>
        <v/>
      </c>
      <c r="V246" s="5" t="str">
        <f>IF($A246="","",IFERROR(SUBSTITUTE(VLOOKUP($A246,Sheet1!$A:$AN,22,0),"族",""),""))</f>
        <v/>
      </c>
      <c r="W246" s="5" t="str">
        <f>IF($A246="","",IFERROR(VLOOKUP($A246,Sheet1!$A:$AN,23,0),""))</f>
        <v/>
      </c>
      <c r="X246" s="5" t="str">
        <f>IF($A246="","",IFERROR(VLOOKUP($A246,Sheet1!$A:$AN,24,0),""))</f>
        <v/>
      </c>
      <c r="Y246" s="5" t="str">
        <f>IF($A246="","",IFERROR(VLOOKUP($A246,Sheet1!$A:$AN,25,0),""))</f>
        <v/>
      </c>
      <c r="AK246" s="5" t="str">
        <f>IF($A246="","",IFERROR(VLOOKUP($A246,Sheet1!$A:$AN,37,0),""))</f>
        <v/>
      </c>
      <c r="AL246" s="13" t="str">
        <f>IF($A246="","",IFERROR(VLOOKUP($A246,Sheet1!$A:$AN,38,0),""))</f>
        <v/>
      </c>
      <c r="AM246" s="13" t="str">
        <f>IF($A246="","",IFERROR(VLOOKUP($A246,Sheet1!$A:$AN,39,0),""))</f>
        <v/>
      </c>
      <c r="AN246" s="13" t="str">
        <f>IF($A246="","",IFERROR(VLOOKUP($A246,Sheet1!$A:$AN,40,0),""))</f>
        <v/>
      </c>
    </row>
    <row r="247" customHeight="1" spans="1:40">
      <c r="A247" s="5" t="str">
        <f>IF(Sheet1!$A247="","",Sheet1!$A247)</f>
        <v/>
      </c>
      <c r="B247" s="5" t="str">
        <f t="shared" si="15"/>
        <v/>
      </c>
      <c r="C247" s="5" t="str">
        <f>IF($A247="","",IFERROR(VLOOKUP($A247,Sheet1!$A:$AN,3,0),""))</f>
        <v/>
      </c>
      <c r="D247" s="5" t="str">
        <f t="shared" si="16"/>
        <v/>
      </c>
      <c r="I247" s="5" t="str">
        <f t="shared" si="17"/>
        <v/>
      </c>
      <c r="M247" s="5" t="str">
        <f t="shared" si="18"/>
        <v/>
      </c>
      <c r="R247" s="5" t="str">
        <f>IF($A247="","",IFERROR(VLOOKUP($A247,Sheet1!A:AN,18,0),""))</f>
        <v/>
      </c>
      <c r="S247" s="5" t="str">
        <f>IF($A247="","",IFERROR(VLOOKUP($A247,Sheet1!$A:$AN,19,0),""))</f>
        <v/>
      </c>
      <c r="T247" s="5" t="str">
        <f t="shared" si="19"/>
        <v/>
      </c>
      <c r="U247" s="5" t="str">
        <f>IF($A247="","",IFERROR(VLOOKUP($A247,Sheet1!$A:$AN,21,0),""))</f>
        <v/>
      </c>
      <c r="V247" s="5" t="str">
        <f>IF($A247="","",IFERROR(SUBSTITUTE(VLOOKUP($A247,Sheet1!$A:$AN,22,0),"族",""),""))</f>
        <v/>
      </c>
      <c r="W247" s="5" t="str">
        <f>IF($A247="","",IFERROR(VLOOKUP($A247,Sheet1!$A:$AN,23,0),""))</f>
        <v/>
      </c>
      <c r="X247" s="5" t="str">
        <f>IF($A247="","",IFERROR(VLOOKUP($A247,Sheet1!$A:$AN,24,0),""))</f>
        <v/>
      </c>
      <c r="Y247" s="5" t="str">
        <f>IF($A247="","",IFERROR(VLOOKUP($A247,Sheet1!$A:$AN,25,0),""))</f>
        <v/>
      </c>
      <c r="AK247" s="5" t="str">
        <f>IF($A247="","",IFERROR(VLOOKUP($A247,Sheet1!$A:$AN,37,0),""))</f>
        <v/>
      </c>
      <c r="AL247" s="13" t="str">
        <f>IF($A247="","",IFERROR(VLOOKUP($A247,Sheet1!$A:$AN,38,0),""))</f>
        <v/>
      </c>
      <c r="AM247" s="13" t="str">
        <f>IF($A247="","",IFERROR(VLOOKUP($A247,Sheet1!$A:$AN,39,0),""))</f>
        <v/>
      </c>
      <c r="AN247" s="13" t="str">
        <f>IF($A247="","",IFERROR(VLOOKUP($A247,Sheet1!$A:$AN,40,0),""))</f>
        <v/>
      </c>
    </row>
    <row r="248" customHeight="1" spans="1:40">
      <c r="A248" s="5" t="str">
        <f>IF(Sheet1!$A248="","",Sheet1!$A248)</f>
        <v/>
      </c>
      <c r="B248" s="5" t="str">
        <f t="shared" si="15"/>
        <v/>
      </c>
      <c r="C248" s="5" t="str">
        <f>IF($A248="","",IFERROR(VLOOKUP($A248,Sheet1!$A:$AN,3,0),""))</f>
        <v/>
      </c>
      <c r="D248" s="5" t="str">
        <f t="shared" si="16"/>
        <v/>
      </c>
      <c r="I248" s="5" t="str">
        <f t="shared" si="17"/>
        <v/>
      </c>
      <c r="M248" s="5" t="str">
        <f t="shared" si="18"/>
        <v/>
      </c>
      <c r="R248" s="5" t="str">
        <f>IF($A248="","",IFERROR(VLOOKUP($A248,Sheet1!A:AN,18,0),""))</f>
        <v/>
      </c>
      <c r="S248" s="5" t="str">
        <f>IF($A248="","",IFERROR(VLOOKUP($A248,Sheet1!$A:$AN,19,0),""))</f>
        <v/>
      </c>
      <c r="T248" s="5" t="str">
        <f t="shared" si="19"/>
        <v/>
      </c>
      <c r="U248" s="5" t="str">
        <f>IF($A248="","",IFERROR(VLOOKUP($A248,Sheet1!$A:$AN,21,0),""))</f>
        <v/>
      </c>
      <c r="V248" s="5" t="str">
        <f>IF($A248="","",IFERROR(SUBSTITUTE(VLOOKUP($A248,Sheet1!$A:$AN,22,0),"族",""),""))</f>
        <v/>
      </c>
      <c r="W248" s="5" t="str">
        <f>IF($A248="","",IFERROR(VLOOKUP($A248,Sheet1!$A:$AN,23,0),""))</f>
        <v/>
      </c>
      <c r="X248" s="5" t="str">
        <f>IF($A248="","",IFERROR(VLOOKUP($A248,Sheet1!$A:$AN,24,0),""))</f>
        <v/>
      </c>
      <c r="Y248" s="5" t="str">
        <f>IF($A248="","",IFERROR(VLOOKUP($A248,Sheet1!$A:$AN,25,0),""))</f>
        <v/>
      </c>
      <c r="AK248" s="5" t="str">
        <f>IF($A248="","",IFERROR(VLOOKUP($A248,Sheet1!$A:$AN,37,0),""))</f>
        <v/>
      </c>
      <c r="AL248" s="13" t="str">
        <f>IF($A248="","",IFERROR(VLOOKUP($A248,Sheet1!$A:$AN,38,0),""))</f>
        <v/>
      </c>
      <c r="AM248" s="13" t="str">
        <f>IF($A248="","",IFERROR(VLOOKUP($A248,Sheet1!$A:$AN,39,0),""))</f>
        <v/>
      </c>
      <c r="AN248" s="13" t="str">
        <f>IF($A248="","",IFERROR(VLOOKUP($A248,Sheet1!$A:$AN,40,0),""))</f>
        <v/>
      </c>
    </row>
    <row r="249" customHeight="1" spans="1:40">
      <c r="A249" s="5" t="str">
        <f>IF(Sheet1!$A249="","",Sheet1!$A249)</f>
        <v/>
      </c>
      <c r="B249" s="5" t="str">
        <f t="shared" si="15"/>
        <v/>
      </c>
      <c r="C249" s="5" t="str">
        <f>IF($A249="","",IFERROR(VLOOKUP($A249,Sheet1!$A:$AN,3,0),""))</f>
        <v/>
      </c>
      <c r="D249" s="5" t="str">
        <f t="shared" si="16"/>
        <v/>
      </c>
      <c r="I249" s="5" t="str">
        <f t="shared" si="17"/>
        <v/>
      </c>
      <c r="M249" s="5" t="str">
        <f t="shared" si="18"/>
        <v/>
      </c>
      <c r="R249" s="5" t="str">
        <f>IF($A249="","",IFERROR(VLOOKUP($A249,Sheet1!A:AN,18,0),""))</f>
        <v/>
      </c>
      <c r="S249" s="5" t="str">
        <f>IF($A249="","",IFERROR(VLOOKUP($A249,Sheet1!$A:$AN,19,0),""))</f>
        <v/>
      </c>
      <c r="T249" s="5" t="str">
        <f t="shared" si="19"/>
        <v/>
      </c>
      <c r="U249" s="5" t="str">
        <f>IF($A249="","",IFERROR(VLOOKUP($A249,Sheet1!$A:$AN,21,0),""))</f>
        <v/>
      </c>
      <c r="V249" s="5" t="str">
        <f>IF($A249="","",IFERROR(SUBSTITUTE(VLOOKUP($A249,Sheet1!$A:$AN,22,0),"族",""),""))</f>
        <v/>
      </c>
      <c r="W249" s="5" t="str">
        <f>IF($A249="","",IFERROR(VLOOKUP($A249,Sheet1!$A:$AN,23,0),""))</f>
        <v/>
      </c>
      <c r="X249" s="5" t="str">
        <f>IF($A249="","",IFERROR(VLOOKUP($A249,Sheet1!$A:$AN,24,0),""))</f>
        <v/>
      </c>
      <c r="Y249" s="5" t="str">
        <f>IF($A249="","",IFERROR(VLOOKUP($A249,Sheet1!$A:$AN,25,0),""))</f>
        <v/>
      </c>
      <c r="AK249" s="5" t="str">
        <f>IF($A249="","",IFERROR(VLOOKUP($A249,Sheet1!$A:$AN,37,0),""))</f>
        <v/>
      </c>
      <c r="AL249" s="13" t="str">
        <f>IF($A249="","",IFERROR(VLOOKUP($A249,Sheet1!$A:$AN,38,0),""))</f>
        <v/>
      </c>
      <c r="AM249" s="13" t="str">
        <f>IF($A249="","",IFERROR(VLOOKUP($A249,Sheet1!$A:$AN,39,0),""))</f>
        <v/>
      </c>
      <c r="AN249" s="13" t="str">
        <f>IF($A249="","",IFERROR(VLOOKUP($A249,Sheet1!$A:$AN,40,0),""))</f>
        <v/>
      </c>
    </row>
    <row r="250" customHeight="1" spans="1:40">
      <c r="A250" s="5" t="str">
        <f>IF(Sheet1!$A250="","",Sheet1!$A250)</f>
        <v/>
      </c>
      <c r="B250" s="5" t="str">
        <f t="shared" si="15"/>
        <v/>
      </c>
      <c r="C250" s="5" t="str">
        <f>IF($A250="","",IFERROR(VLOOKUP($A250,Sheet1!$A:$AN,3,0),""))</f>
        <v/>
      </c>
      <c r="D250" s="5" t="str">
        <f t="shared" si="16"/>
        <v/>
      </c>
      <c r="I250" s="5" t="str">
        <f t="shared" si="17"/>
        <v/>
      </c>
      <c r="M250" s="5" t="str">
        <f t="shared" si="18"/>
        <v/>
      </c>
      <c r="R250" s="5" t="str">
        <f>IF($A250="","",IFERROR(VLOOKUP($A250,Sheet1!A:AN,18,0),""))</f>
        <v/>
      </c>
      <c r="S250" s="5" t="str">
        <f>IF($A250="","",IFERROR(VLOOKUP($A250,Sheet1!$A:$AN,19,0),""))</f>
        <v/>
      </c>
      <c r="T250" s="5" t="str">
        <f t="shared" si="19"/>
        <v/>
      </c>
      <c r="U250" s="5" t="str">
        <f>IF($A250="","",IFERROR(VLOOKUP($A250,Sheet1!$A:$AN,21,0),""))</f>
        <v/>
      </c>
      <c r="V250" s="5" t="str">
        <f>IF($A250="","",IFERROR(SUBSTITUTE(VLOOKUP($A250,Sheet1!$A:$AN,22,0),"族",""),""))</f>
        <v/>
      </c>
      <c r="W250" s="5" t="str">
        <f>IF($A250="","",IFERROR(VLOOKUP($A250,Sheet1!$A:$AN,23,0),""))</f>
        <v/>
      </c>
      <c r="X250" s="5" t="str">
        <f>IF($A250="","",IFERROR(VLOOKUP($A250,Sheet1!$A:$AN,24,0),""))</f>
        <v/>
      </c>
      <c r="Y250" s="5" t="str">
        <f>IF($A250="","",IFERROR(VLOOKUP($A250,Sheet1!$A:$AN,25,0),""))</f>
        <v/>
      </c>
      <c r="AK250" s="5" t="str">
        <f>IF($A250="","",IFERROR(VLOOKUP($A250,Sheet1!$A:$AN,37,0),""))</f>
        <v/>
      </c>
      <c r="AL250" s="13" t="str">
        <f>IF($A250="","",IFERROR(VLOOKUP($A250,Sheet1!$A:$AN,38,0),""))</f>
        <v/>
      </c>
      <c r="AM250" s="13" t="str">
        <f>IF($A250="","",IFERROR(VLOOKUP($A250,Sheet1!$A:$AN,39,0),""))</f>
        <v/>
      </c>
      <c r="AN250" s="13" t="str">
        <f>IF($A250="","",IFERROR(VLOOKUP($A250,Sheet1!$A:$AN,40,0),""))</f>
        <v/>
      </c>
    </row>
    <row r="251" customHeight="1" spans="1:40">
      <c r="A251" s="5" t="str">
        <f>IF(Sheet1!$A251="","",Sheet1!$A251)</f>
        <v/>
      </c>
      <c r="B251" s="5" t="str">
        <f t="shared" si="15"/>
        <v/>
      </c>
      <c r="C251" s="5" t="str">
        <f>IF($A251="","",IFERROR(VLOOKUP($A251,Sheet1!$A:$AN,3,0),""))</f>
        <v/>
      </c>
      <c r="D251" s="5" t="str">
        <f t="shared" si="16"/>
        <v/>
      </c>
      <c r="I251" s="5" t="str">
        <f t="shared" si="17"/>
        <v/>
      </c>
      <c r="M251" s="5" t="str">
        <f t="shared" si="18"/>
        <v/>
      </c>
      <c r="R251" s="5" t="str">
        <f>IF($A251="","",IFERROR(VLOOKUP($A251,Sheet1!A:AN,18,0),""))</f>
        <v/>
      </c>
      <c r="S251" s="5" t="str">
        <f>IF($A251="","",IFERROR(VLOOKUP($A251,Sheet1!$A:$AN,19,0),""))</f>
        <v/>
      </c>
      <c r="T251" s="5" t="str">
        <f t="shared" si="19"/>
        <v/>
      </c>
      <c r="U251" s="5" t="str">
        <f>IF($A251="","",IFERROR(VLOOKUP($A251,Sheet1!$A:$AN,21,0),""))</f>
        <v/>
      </c>
      <c r="V251" s="5" t="str">
        <f>IF($A251="","",IFERROR(SUBSTITUTE(VLOOKUP($A251,Sheet1!$A:$AN,22,0),"族",""),""))</f>
        <v/>
      </c>
      <c r="W251" s="5" t="str">
        <f>IF($A251="","",IFERROR(VLOOKUP($A251,Sheet1!$A:$AN,23,0),""))</f>
        <v/>
      </c>
      <c r="X251" s="5" t="str">
        <f>IF($A251="","",IFERROR(VLOOKUP($A251,Sheet1!$A:$AN,24,0),""))</f>
        <v/>
      </c>
      <c r="Y251" s="5" t="str">
        <f>IF($A251="","",IFERROR(VLOOKUP($A251,Sheet1!$A:$AN,25,0),""))</f>
        <v/>
      </c>
      <c r="AK251" s="5" t="str">
        <f>IF($A251="","",IFERROR(VLOOKUP($A251,Sheet1!$A:$AN,37,0),""))</f>
        <v/>
      </c>
      <c r="AL251" s="13" t="str">
        <f>IF($A251="","",IFERROR(VLOOKUP($A251,Sheet1!$A:$AN,38,0),""))</f>
        <v/>
      </c>
      <c r="AM251" s="13" t="str">
        <f>IF($A251="","",IFERROR(VLOOKUP($A251,Sheet1!$A:$AN,39,0),""))</f>
        <v/>
      </c>
      <c r="AN251" s="13" t="str">
        <f>IF($A251="","",IFERROR(VLOOKUP($A251,Sheet1!$A:$AN,40,0),""))</f>
        <v/>
      </c>
    </row>
    <row r="252" customHeight="1" spans="1:40">
      <c r="A252" s="5" t="str">
        <f>IF(Sheet1!$A252="","",Sheet1!$A252)</f>
        <v/>
      </c>
      <c r="B252" s="5" t="str">
        <f t="shared" si="15"/>
        <v/>
      </c>
      <c r="C252" s="5" t="str">
        <f>IF($A252="","",IFERROR(VLOOKUP($A252,Sheet1!$A:$AN,3,0),""))</f>
        <v/>
      </c>
      <c r="D252" s="5" t="str">
        <f t="shared" si="16"/>
        <v/>
      </c>
      <c r="I252" s="5" t="str">
        <f t="shared" si="17"/>
        <v/>
      </c>
      <c r="M252" s="5" t="str">
        <f t="shared" si="18"/>
        <v/>
      </c>
      <c r="R252" s="5" t="str">
        <f>IF($A252="","",IFERROR(VLOOKUP($A252,Sheet1!A:AN,18,0),""))</f>
        <v/>
      </c>
      <c r="S252" s="5" t="str">
        <f>IF($A252="","",IFERROR(VLOOKUP($A252,Sheet1!$A:$AN,19,0),""))</f>
        <v/>
      </c>
      <c r="T252" s="5" t="str">
        <f t="shared" si="19"/>
        <v/>
      </c>
      <c r="U252" s="5" t="str">
        <f>IF($A252="","",IFERROR(VLOOKUP($A252,Sheet1!$A:$AN,21,0),""))</f>
        <v/>
      </c>
      <c r="V252" s="5" t="str">
        <f>IF($A252="","",IFERROR(SUBSTITUTE(VLOOKUP($A252,Sheet1!$A:$AN,22,0),"族",""),""))</f>
        <v/>
      </c>
      <c r="W252" s="5" t="str">
        <f>IF($A252="","",IFERROR(VLOOKUP($A252,Sheet1!$A:$AN,23,0),""))</f>
        <v/>
      </c>
      <c r="X252" s="5" t="str">
        <f>IF($A252="","",IFERROR(VLOOKUP($A252,Sheet1!$A:$AN,24,0),""))</f>
        <v/>
      </c>
      <c r="Y252" s="5" t="str">
        <f>IF($A252="","",IFERROR(VLOOKUP($A252,Sheet1!$A:$AN,25,0),""))</f>
        <v/>
      </c>
      <c r="AK252" s="5" t="str">
        <f>IF($A252="","",IFERROR(VLOOKUP($A252,Sheet1!$A:$AN,37,0),""))</f>
        <v/>
      </c>
      <c r="AL252" s="13" t="str">
        <f>IF($A252="","",IFERROR(VLOOKUP($A252,Sheet1!$A:$AN,38,0),""))</f>
        <v/>
      </c>
      <c r="AM252" s="13" t="str">
        <f>IF($A252="","",IFERROR(VLOOKUP($A252,Sheet1!$A:$AN,39,0),""))</f>
        <v/>
      </c>
      <c r="AN252" s="13" t="str">
        <f>IF($A252="","",IFERROR(VLOOKUP($A252,Sheet1!$A:$AN,40,0),""))</f>
        <v/>
      </c>
    </row>
    <row r="253" customHeight="1" spans="1:40">
      <c r="A253" s="5" t="str">
        <f>IF(Sheet1!$A253="","",Sheet1!$A253)</f>
        <v/>
      </c>
      <c r="B253" s="5" t="str">
        <f t="shared" si="15"/>
        <v/>
      </c>
      <c r="C253" s="5" t="str">
        <f>IF($A253="","",IFERROR(VLOOKUP($A253,Sheet1!$A:$AN,3,0),""))</f>
        <v/>
      </c>
      <c r="D253" s="5" t="str">
        <f t="shared" si="16"/>
        <v/>
      </c>
      <c r="I253" s="5" t="str">
        <f t="shared" si="17"/>
        <v/>
      </c>
      <c r="M253" s="5" t="str">
        <f t="shared" si="18"/>
        <v/>
      </c>
      <c r="R253" s="5" t="str">
        <f>IF($A253="","",IFERROR(VLOOKUP($A253,Sheet1!A:AN,18,0),""))</f>
        <v/>
      </c>
      <c r="S253" s="5" t="str">
        <f>IF($A253="","",IFERROR(VLOOKUP($A253,Sheet1!$A:$AN,19,0),""))</f>
        <v/>
      </c>
      <c r="T253" s="5" t="str">
        <f t="shared" si="19"/>
        <v/>
      </c>
      <c r="U253" s="5" t="str">
        <f>IF($A253="","",IFERROR(VLOOKUP($A253,Sheet1!$A:$AN,21,0),""))</f>
        <v/>
      </c>
      <c r="V253" s="5" t="str">
        <f>IF($A253="","",IFERROR(SUBSTITUTE(VLOOKUP($A253,Sheet1!$A:$AN,22,0),"族",""),""))</f>
        <v/>
      </c>
      <c r="W253" s="5" t="str">
        <f>IF($A253="","",IFERROR(VLOOKUP($A253,Sheet1!$A:$AN,23,0),""))</f>
        <v/>
      </c>
      <c r="X253" s="5" t="str">
        <f>IF($A253="","",IFERROR(VLOOKUP($A253,Sheet1!$A:$AN,24,0),""))</f>
        <v/>
      </c>
      <c r="Y253" s="5" t="str">
        <f>IF($A253="","",IFERROR(VLOOKUP($A253,Sheet1!$A:$AN,25,0),""))</f>
        <v/>
      </c>
      <c r="AK253" s="5" t="str">
        <f>IF($A253="","",IFERROR(VLOOKUP($A253,Sheet1!$A:$AN,37,0),""))</f>
        <v/>
      </c>
      <c r="AL253" s="13" t="str">
        <f>IF($A253="","",IFERROR(VLOOKUP($A253,Sheet1!$A:$AN,38,0),""))</f>
        <v/>
      </c>
      <c r="AM253" s="13" t="str">
        <f>IF($A253="","",IFERROR(VLOOKUP($A253,Sheet1!$A:$AN,39,0),""))</f>
        <v/>
      </c>
      <c r="AN253" s="13" t="str">
        <f>IF($A253="","",IFERROR(VLOOKUP($A253,Sheet1!$A:$AN,40,0),""))</f>
        <v/>
      </c>
    </row>
    <row r="254" customHeight="1" spans="1:40">
      <c r="A254" s="5" t="str">
        <f>IF(Sheet1!$A254="","",Sheet1!$A254)</f>
        <v/>
      </c>
      <c r="B254" s="5" t="str">
        <f t="shared" si="15"/>
        <v/>
      </c>
      <c r="C254" s="5" t="str">
        <f>IF($A254="","",IFERROR(VLOOKUP($A254,Sheet1!$A:$AN,3,0),""))</f>
        <v/>
      </c>
      <c r="D254" s="5" t="str">
        <f t="shared" si="16"/>
        <v/>
      </c>
      <c r="I254" s="5" t="str">
        <f t="shared" si="17"/>
        <v/>
      </c>
      <c r="M254" s="5" t="str">
        <f t="shared" si="18"/>
        <v/>
      </c>
      <c r="R254" s="5" t="str">
        <f>IF($A254="","",IFERROR(VLOOKUP($A254,Sheet1!A:AN,18,0),""))</f>
        <v/>
      </c>
      <c r="S254" s="5" t="str">
        <f>IF($A254="","",IFERROR(VLOOKUP($A254,Sheet1!$A:$AN,19,0),""))</f>
        <v/>
      </c>
      <c r="T254" s="5" t="str">
        <f t="shared" si="19"/>
        <v/>
      </c>
      <c r="U254" s="5" t="str">
        <f>IF($A254="","",IFERROR(VLOOKUP($A254,Sheet1!$A:$AN,21,0),""))</f>
        <v/>
      </c>
      <c r="V254" s="5" t="str">
        <f>IF($A254="","",IFERROR(SUBSTITUTE(VLOOKUP($A254,Sheet1!$A:$AN,22,0),"族",""),""))</f>
        <v/>
      </c>
      <c r="W254" s="5" t="str">
        <f>IF($A254="","",IFERROR(VLOOKUP($A254,Sheet1!$A:$AN,23,0),""))</f>
        <v/>
      </c>
      <c r="X254" s="5" t="str">
        <f>IF($A254="","",IFERROR(VLOOKUP($A254,Sheet1!$A:$AN,24,0),""))</f>
        <v/>
      </c>
      <c r="Y254" s="5" t="str">
        <f>IF($A254="","",IFERROR(VLOOKUP($A254,Sheet1!$A:$AN,25,0),""))</f>
        <v/>
      </c>
      <c r="AK254" s="5" t="str">
        <f>IF($A254="","",IFERROR(VLOOKUP($A254,Sheet1!$A:$AN,37,0),""))</f>
        <v/>
      </c>
      <c r="AL254" s="13" t="str">
        <f>IF($A254="","",IFERROR(VLOOKUP($A254,Sheet1!$A:$AN,38,0),""))</f>
        <v/>
      </c>
      <c r="AM254" s="13" t="str">
        <f>IF($A254="","",IFERROR(VLOOKUP($A254,Sheet1!$A:$AN,39,0),""))</f>
        <v/>
      </c>
      <c r="AN254" s="13" t="str">
        <f>IF($A254="","",IFERROR(VLOOKUP($A254,Sheet1!$A:$AN,40,0),""))</f>
        <v/>
      </c>
    </row>
    <row r="255" customHeight="1" spans="1:40">
      <c r="A255" s="5" t="str">
        <f>IF(Sheet1!$A255="","",Sheet1!$A255)</f>
        <v/>
      </c>
      <c r="B255" s="5" t="str">
        <f t="shared" si="15"/>
        <v/>
      </c>
      <c r="C255" s="5" t="str">
        <f>IF($A255="","",IFERROR(VLOOKUP($A255,Sheet1!$A:$AN,3,0),""))</f>
        <v/>
      </c>
      <c r="D255" s="5" t="str">
        <f t="shared" si="16"/>
        <v/>
      </c>
      <c r="I255" s="5" t="str">
        <f t="shared" si="17"/>
        <v/>
      </c>
      <c r="M255" s="5" t="str">
        <f t="shared" si="18"/>
        <v/>
      </c>
      <c r="R255" s="5" t="str">
        <f>IF($A255="","",IFERROR(VLOOKUP($A255,Sheet1!A:AN,18,0),""))</f>
        <v/>
      </c>
      <c r="S255" s="5" t="str">
        <f>IF($A255="","",IFERROR(VLOOKUP($A255,Sheet1!$A:$AN,19,0),""))</f>
        <v/>
      </c>
      <c r="T255" s="5" t="str">
        <f t="shared" si="19"/>
        <v/>
      </c>
      <c r="U255" s="5" t="str">
        <f>IF($A255="","",IFERROR(VLOOKUP($A255,Sheet1!$A:$AN,21,0),""))</f>
        <v/>
      </c>
      <c r="V255" s="5" t="str">
        <f>IF($A255="","",IFERROR(SUBSTITUTE(VLOOKUP($A255,Sheet1!$A:$AN,22,0),"族",""),""))</f>
        <v/>
      </c>
      <c r="W255" s="5" t="str">
        <f>IF($A255="","",IFERROR(VLOOKUP($A255,Sheet1!$A:$AN,23,0),""))</f>
        <v/>
      </c>
      <c r="X255" s="5" t="str">
        <f>IF($A255="","",IFERROR(VLOOKUP($A255,Sheet1!$A:$AN,24,0),""))</f>
        <v/>
      </c>
      <c r="Y255" s="5" t="str">
        <f>IF($A255="","",IFERROR(VLOOKUP($A255,Sheet1!$A:$AN,25,0),""))</f>
        <v/>
      </c>
      <c r="AK255" s="5" t="str">
        <f>IF($A255="","",IFERROR(VLOOKUP($A255,Sheet1!$A:$AN,37,0),""))</f>
        <v/>
      </c>
      <c r="AL255" s="13" t="str">
        <f>IF($A255="","",IFERROR(VLOOKUP($A255,Sheet1!$A:$AN,38,0),""))</f>
        <v/>
      </c>
      <c r="AM255" s="13" t="str">
        <f>IF($A255="","",IFERROR(VLOOKUP($A255,Sheet1!$A:$AN,39,0),""))</f>
        <v/>
      </c>
      <c r="AN255" s="13" t="str">
        <f>IF($A255="","",IFERROR(VLOOKUP($A255,Sheet1!$A:$AN,40,0),""))</f>
        <v/>
      </c>
    </row>
    <row r="256" customHeight="1" spans="1:40">
      <c r="A256" s="5" t="str">
        <f>IF(Sheet1!$A256="","",Sheet1!$A256)</f>
        <v/>
      </c>
      <c r="B256" s="5" t="str">
        <f t="shared" si="15"/>
        <v/>
      </c>
      <c r="C256" s="5" t="str">
        <f>IF($A256="","",IFERROR(VLOOKUP($A256,Sheet1!$A:$AN,3,0),""))</f>
        <v/>
      </c>
      <c r="D256" s="5" t="str">
        <f t="shared" si="16"/>
        <v/>
      </c>
      <c r="I256" s="5" t="str">
        <f t="shared" si="17"/>
        <v/>
      </c>
      <c r="M256" s="5" t="str">
        <f t="shared" si="18"/>
        <v/>
      </c>
      <c r="R256" s="5" t="str">
        <f>IF($A256="","",IFERROR(VLOOKUP($A256,Sheet1!A:AN,18,0),""))</f>
        <v/>
      </c>
      <c r="S256" s="5" t="str">
        <f>IF($A256="","",IFERROR(VLOOKUP($A256,Sheet1!$A:$AN,19,0),""))</f>
        <v/>
      </c>
      <c r="T256" s="5" t="str">
        <f t="shared" si="19"/>
        <v/>
      </c>
      <c r="U256" s="5" t="str">
        <f>IF($A256="","",IFERROR(VLOOKUP($A256,Sheet1!$A:$AN,21,0),""))</f>
        <v/>
      </c>
      <c r="V256" s="5" t="str">
        <f>IF($A256="","",IFERROR(SUBSTITUTE(VLOOKUP($A256,Sheet1!$A:$AN,22,0),"族",""),""))</f>
        <v/>
      </c>
      <c r="W256" s="5" t="str">
        <f>IF($A256="","",IFERROR(VLOOKUP($A256,Sheet1!$A:$AN,23,0),""))</f>
        <v/>
      </c>
      <c r="X256" s="5" t="str">
        <f>IF($A256="","",IFERROR(VLOOKUP($A256,Sheet1!$A:$AN,24,0),""))</f>
        <v/>
      </c>
      <c r="Y256" s="5" t="str">
        <f>IF($A256="","",IFERROR(VLOOKUP($A256,Sheet1!$A:$AN,25,0),""))</f>
        <v/>
      </c>
      <c r="AK256" s="5" t="str">
        <f>IF($A256="","",IFERROR(VLOOKUP($A256,Sheet1!$A:$AN,37,0),""))</f>
        <v/>
      </c>
      <c r="AL256" s="13" t="str">
        <f>IF($A256="","",IFERROR(VLOOKUP($A256,Sheet1!$A:$AN,38,0),""))</f>
        <v/>
      </c>
      <c r="AM256" s="13" t="str">
        <f>IF($A256="","",IFERROR(VLOOKUP($A256,Sheet1!$A:$AN,39,0),""))</f>
        <v/>
      </c>
      <c r="AN256" s="13" t="str">
        <f>IF($A256="","",IFERROR(VLOOKUP($A256,Sheet1!$A:$AN,40,0),""))</f>
        <v/>
      </c>
    </row>
    <row r="257" customHeight="1" spans="1:40">
      <c r="A257" s="5" t="str">
        <f>IF(Sheet1!$A257="","",Sheet1!$A257)</f>
        <v/>
      </c>
      <c r="B257" s="5" t="str">
        <f t="shared" si="15"/>
        <v/>
      </c>
      <c r="C257" s="5" t="str">
        <f>IF($A257="","",IFERROR(VLOOKUP($A257,Sheet1!$A:$AN,3,0),""))</f>
        <v/>
      </c>
      <c r="D257" s="5" t="str">
        <f t="shared" si="16"/>
        <v/>
      </c>
      <c r="I257" s="5" t="str">
        <f t="shared" si="17"/>
        <v/>
      </c>
      <c r="M257" s="5" t="str">
        <f t="shared" si="18"/>
        <v/>
      </c>
      <c r="R257" s="5" t="str">
        <f>IF($A257="","",IFERROR(VLOOKUP($A257,Sheet1!A:AN,18,0),""))</f>
        <v/>
      </c>
      <c r="S257" s="5" t="str">
        <f>IF($A257="","",IFERROR(VLOOKUP($A257,Sheet1!$A:$AN,19,0),""))</f>
        <v/>
      </c>
      <c r="T257" s="5" t="str">
        <f t="shared" si="19"/>
        <v/>
      </c>
      <c r="U257" s="5" t="str">
        <f>IF($A257="","",IFERROR(VLOOKUP($A257,Sheet1!$A:$AN,21,0),""))</f>
        <v/>
      </c>
      <c r="V257" s="5" t="str">
        <f>IF($A257="","",IFERROR(SUBSTITUTE(VLOOKUP($A257,Sheet1!$A:$AN,22,0),"族",""),""))</f>
        <v/>
      </c>
      <c r="W257" s="5" t="str">
        <f>IF($A257="","",IFERROR(VLOOKUP($A257,Sheet1!$A:$AN,23,0),""))</f>
        <v/>
      </c>
      <c r="X257" s="5" t="str">
        <f>IF($A257="","",IFERROR(VLOOKUP($A257,Sheet1!$A:$AN,24,0),""))</f>
        <v/>
      </c>
      <c r="Y257" s="5" t="str">
        <f>IF($A257="","",IFERROR(VLOOKUP($A257,Sheet1!$A:$AN,25,0),""))</f>
        <v/>
      </c>
      <c r="AK257" s="5" t="str">
        <f>IF($A257="","",IFERROR(VLOOKUP($A257,Sheet1!$A:$AN,37,0),""))</f>
        <v/>
      </c>
      <c r="AL257" s="13" t="str">
        <f>IF($A257="","",IFERROR(VLOOKUP($A257,Sheet1!$A:$AN,38,0),""))</f>
        <v/>
      </c>
      <c r="AM257" s="13" t="str">
        <f>IF($A257="","",IFERROR(VLOOKUP($A257,Sheet1!$A:$AN,39,0),""))</f>
        <v/>
      </c>
      <c r="AN257" s="13" t="str">
        <f>IF($A257="","",IFERROR(VLOOKUP($A257,Sheet1!$A:$AN,40,0),""))</f>
        <v/>
      </c>
    </row>
    <row r="258" customHeight="1" spans="1:40">
      <c r="A258" s="5" t="str">
        <f>IF(Sheet1!$A258="","",Sheet1!$A258)</f>
        <v/>
      </c>
      <c r="B258" s="5" t="str">
        <f t="shared" si="15"/>
        <v/>
      </c>
      <c r="C258" s="5" t="str">
        <f>IF($A258="","",IFERROR(VLOOKUP($A258,Sheet1!$A:$AN,3,0),""))</f>
        <v/>
      </c>
      <c r="D258" s="5" t="str">
        <f t="shared" si="16"/>
        <v/>
      </c>
      <c r="I258" s="5" t="str">
        <f t="shared" si="17"/>
        <v/>
      </c>
      <c r="M258" s="5" t="str">
        <f t="shared" si="18"/>
        <v/>
      </c>
      <c r="R258" s="5" t="str">
        <f>IF($A258="","",IFERROR(VLOOKUP($A258,Sheet1!A:AN,18,0),""))</f>
        <v/>
      </c>
      <c r="S258" s="5" t="str">
        <f>IF($A258="","",IFERROR(VLOOKUP($A258,Sheet1!$A:$AN,19,0),""))</f>
        <v/>
      </c>
      <c r="T258" s="5" t="str">
        <f t="shared" si="19"/>
        <v/>
      </c>
      <c r="U258" s="5" t="str">
        <f>IF($A258="","",IFERROR(VLOOKUP($A258,Sheet1!$A:$AN,21,0),""))</f>
        <v/>
      </c>
      <c r="V258" s="5" t="str">
        <f>IF($A258="","",IFERROR(SUBSTITUTE(VLOOKUP($A258,Sheet1!$A:$AN,22,0),"族",""),""))</f>
        <v/>
      </c>
      <c r="W258" s="5" t="str">
        <f>IF($A258="","",IFERROR(VLOOKUP($A258,Sheet1!$A:$AN,23,0),""))</f>
        <v/>
      </c>
      <c r="X258" s="5" t="str">
        <f>IF($A258="","",IFERROR(VLOOKUP($A258,Sheet1!$A:$AN,24,0),""))</f>
        <v/>
      </c>
      <c r="Y258" s="5" t="str">
        <f>IF($A258="","",IFERROR(VLOOKUP($A258,Sheet1!$A:$AN,25,0),""))</f>
        <v/>
      </c>
      <c r="AK258" s="5" t="str">
        <f>IF($A258="","",IFERROR(VLOOKUP($A258,Sheet1!$A:$AN,37,0),""))</f>
        <v/>
      </c>
      <c r="AL258" s="13" t="str">
        <f>IF($A258="","",IFERROR(VLOOKUP($A258,Sheet1!$A:$AN,38,0),""))</f>
        <v/>
      </c>
      <c r="AM258" s="13" t="str">
        <f>IF($A258="","",IFERROR(VLOOKUP($A258,Sheet1!$A:$AN,39,0),""))</f>
        <v/>
      </c>
      <c r="AN258" s="13" t="str">
        <f>IF($A258="","",IFERROR(VLOOKUP($A258,Sheet1!$A:$AN,40,0),""))</f>
        <v/>
      </c>
    </row>
    <row r="259" customHeight="1" spans="1:40">
      <c r="A259" s="5" t="str">
        <f>IF(Sheet1!$A259="","",Sheet1!$A259)</f>
        <v/>
      </c>
      <c r="B259" s="5" t="str">
        <f t="shared" ref="B259:B322" si="20">IF($A259="","","企业")</f>
        <v/>
      </c>
      <c r="C259" s="5" t="str">
        <f>IF($A259="","",IFERROR(VLOOKUP($A259,Sheet1!$A:$AN,3,0),""))</f>
        <v/>
      </c>
      <c r="D259" s="5" t="str">
        <f t="shared" ref="D259:D322" si="21">IF($C259="","","营业执照")</f>
        <v/>
      </c>
      <c r="I259" s="5" t="str">
        <f t="shared" ref="I259:I322" si="22">IF($C259="","","身份证")</f>
        <v/>
      </c>
      <c r="M259" s="5" t="str">
        <f t="shared" ref="M259:M322" si="23">IF($C259="","","自然人")</f>
        <v/>
      </c>
      <c r="R259" s="5" t="str">
        <f>IF($A259="","",IFERROR(VLOOKUP($A259,Sheet1!A:AN,18,0),""))</f>
        <v/>
      </c>
      <c r="S259" s="5" t="str">
        <f>IF($A259="","",IFERROR(VLOOKUP($A259,Sheet1!$A:$AN,19,0),""))</f>
        <v/>
      </c>
      <c r="T259" s="5" t="str">
        <f t="shared" ref="T259:T322" si="24">IF($S259="","","身份证")</f>
        <v/>
      </c>
      <c r="U259" s="5" t="str">
        <f>IF($A259="","",IFERROR(VLOOKUP($A259,Sheet1!$A:$AN,21,0),""))</f>
        <v/>
      </c>
      <c r="V259" s="5" t="str">
        <f>IF($A259="","",IFERROR(SUBSTITUTE(VLOOKUP($A259,Sheet1!$A:$AN,22,0),"族",""),""))</f>
        <v/>
      </c>
      <c r="W259" s="5" t="str">
        <f>IF($A259="","",IFERROR(VLOOKUP($A259,Sheet1!$A:$AN,23,0),""))</f>
        <v/>
      </c>
      <c r="X259" s="5" t="str">
        <f>IF($A259="","",IFERROR(VLOOKUP($A259,Sheet1!$A:$AN,24,0),""))</f>
        <v/>
      </c>
      <c r="Y259" s="5" t="str">
        <f>IF($A259="","",IFERROR(VLOOKUP($A259,Sheet1!$A:$AN,25,0),""))</f>
        <v/>
      </c>
      <c r="AK259" s="5" t="str">
        <f>IF($A259="","",IFERROR(VLOOKUP($A259,Sheet1!$A:$AN,37,0),""))</f>
        <v/>
      </c>
      <c r="AL259" s="13" t="str">
        <f>IF($A259="","",IFERROR(VLOOKUP($A259,Sheet1!$A:$AN,38,0),""))</f>
        <v/>
      </c>
      <c r="AM259" s="13" t="str">
        <f>IF($A259="","",IFERROR(VLOOKUP($A259,Sheet1!$A:$AN,39,0),""))</f>
        <v/>
      </c>
      <c r="AN259" s="13" t="str">
        <f>IF($A259="","",IFERROR(VLOOKUP($A259,Sheet1!$A:$AN,40,0),""))</f>
        <v/>
      </c>
    </row>
    <row r="260" customHeight="1" spans="1:40">
      <c r="A260" s="5" t="str">
        <f>IF(Sheet1!$A260="","",Sheet1!$A260)</f>
        <v/>
      </c>
      <c r="B260" s="5" t="str">
        <f t="shared" si="20"/>
        <v/>
      </c>
      <c r="C260" s="5" t="str">
        <f>IF($A260="","",IFERROR(VLOOKUP($A260,Sheet1!$A:$AN,3,0),""))</f>
        <v/>
      </c>
      <c r="D260" s="5" t="str">
        <f t="shared" si="21"/>
        <v/>
      </c>
      <c r="I260" s="5" t="str">
        <f t="shared" si="22"/>
        <v/>
      </c>
      <c r="M260" s="5" t="str">
        <f t="shared" si="23"/>
        <v/>
      </c>
      <c r="R260" s="5" t="str">
        <f>IF($A260="","",IFERROR(VLOOKUP($A260,Sheet1!A:AN,18,0),""))</f>
        <v/>
      </c>
      <c r="S260" s="5" t="str">
        <f>IF($A260="","",IFERROR(VLOOKUP($A260,Sheet1!$A:$AN,19,0),""))</f>
        <v/>
      </c>
      <c r="T260" s="5" t="str">
        <f t="shared" si="24"/>
        <v/>
      </c>
      <c r="U260" s="5" t="str">
        <f>IF($A260="","",IFERROR(VLOOKUP($A260,Sheet1!$A:$AN,21,0),""))</f>
        <v/>
      </c>
      <c r="V260" s="5" t="str">
        <f>IF($A260="","",IFERROR(SUBSTITUTE(VLOOKUP($A260,Sheet1!$A:$AN,22,0),"族",""),""))</f>
        <v/>
      </c>
      <c r="W260" s="5" t="str">
        <f>IF($A260="","",IFERROR(VLOOKUP($A260,Sheet1!$A:$AN,23,0),""))</f>
        <v/>
      </c>
      <c r="X260" s="5" t="str">
        <f>IF($A260="","",IFERROR(VLOOKUP($A260,Sheet1!$A:$AN,24,0),""))</f>
        <v/>
      </c>
      <c r="Y260" s="5" t="str">
        <f>IF($A260="","",IFERROR(VLOOKUP($A260,Sheet1!$A:$AN,25,0),""))</f>
        <v/>
      </c>
      <c r="AK260" s="5" t="str">
        <f>IF($A260="","",IFERROR(VLOOKUP($A260,Sheet1!$A:$AN,37,0),""))</f>
        <v/>
      </c>
      <c r="AL260" s="13" t="str">
        <f>IF($A260="","",IFERROR(VLOOKUP($A260,Sheet1!$A:$AN,38,0),""))</f>
        <v/>
      </c>
      <c r="AM260" s="13" t="str">
        <f>IF($A260="","",IFERROR(VLOOKUP($A260,Sheet1!$A:$AN,39,0),""))</f>
        <v/>
      </c>
      <c r="AN260" s="13" t="str">
        <f>IF($A260="","",IFERROR(VLOOKUP($A260,Sheet1!$A:$AN,40,0),""))</f>
        <v/>
      </c>
    </row>
    <row r="261" customHeight="1" spans="1:40">
      <c r="A261" s="5" t="str">
        <f>IF(Sheet1!$A261="","",Sheet1!$A261)</f>
        <v/>
      </c>
      <c r="B261" s="5" t="str">
        <f t="shared" si="20"/>
        <v/>
      </c>
      <c r="C261" s="5" t="str">
        <f>IF($A261="","",IFERROR(VLOOKUP($A261,Sheet1!$A:$AN,3,0),""))</f>
        <v/>
      </c>
      <c r="D261" s="5" t="str">
        <f t="shared" si="21"/>
        <v/>
      </c>
      <c r="I261" s="5" t="str">
        <f t="shared" si="22"/>
        <v/>
      </c>
      <c r="M261" s="5" t="str">
        <f t="shared" si="23"/>
        <v/>
      </c>
      <c r="R261" s="5" t="str">
        <f>IF($A261="","",IFERROR(VLOOKUP($A261,Sheet1!A:AN,18,0),""))</f>
        <v/>
      </c>
      <c r="S261" s="5" t="str">
        <f>IF($A261="","",IFERROR(VLOOKUP($A261,Sheet1!$A:$AN,19,0),""))</f>
        <v/>
      </c>
      <c r="T261" s="5" t="str">
        <f t="shared" si="24"/>
        <v/>
      </c>
      <c r="U261" s="5" t="str">
        <f>IF($A261="","",IFERROR(VLOOKUP($A261,Sheet1!$A:$AN,21,0),""))</f>
        <v/>
      </c>
      <c r="V261" s="5" t="str">
        <f>IF($A261="","",IFERROR(SUBSTITUTE(VLOOKUP($A261,Sheet1!$A:$AN,22,0),"族",""),""))</f>
        <v/>
      </c>
      <c r="W261" s="5" t="str">
        <f>IF($A261="","",IFERROR(VLOOKUP($A261,Sheet1!$A:$AN,23,0),""))</f>
        <v/>
      </c>
      <c r="X261" s="5" t="str">
        <f>IF($A261="","",IFERROR(VLOOKUP($A261,Sheet1!$A:$AN,24,0),""))</f>
        <v/>
      </c>
      <c r="Y261" s="5" t="str">
        <f>IF($A261="","",IFERROR(VLOOKUP($A261,Sheet1!$A:$AN,25,0),""))</f>
        <v/>
      </c>
      <c r="AK261" s="5" t="str">
        <f>IF($A261="","",IFERROR(VLOOKUP($A261,Sheet1!$A:$AN,37,0),""))</f>
        <v/>
      </c>
      <c r="AL261" s="13" t="str">
        <f>IF($A261="","",IFERROR(VLOOKUP($A261,Sheet1!$A:$AN,38,0),""))</f>
        <v/>
      </c>
      <c r="AM261" s="13" t="str">
        <f>IF($A261="","",IFERROR(VLOOKUP($A261,Sheet1!$A:$AN,39,0),""))</f>
        <v/>
      </c>
      <c r="AN261" s="13" t="str">
        <f>IF($A261="","",IFERROR(VLOOKUP($A261,Sheet1!$A:$AN,40,0),""))</f>
        <v/>
      </c>
    </row>
    <row r="262" customHeight="1" spans="1:40">
      <c r="A262" s="5" t="str">
        <f>IF(Sheet1!$A262="","",Sheet1!$A262)</f>
        <v/>
      </c>
      <c r="B262" s="5" t="str">
        <f t="shared" si="20"/>
        <v/>
      </c>
      <c r="C262" s="5" t="str">
        <f>IF($A262="","",IFERROR(VLOOKUP($A262,Sheet1!$A:$AN,3,0),""))</f>
        <v/>
      </c>
      <c r="D262" s="5" t="str">
        <f t="shared" si="21"/>
        <v/>
      </c>
      <c r="I262" s="5" t="str">
        <f t="shared" si="22"/>
        <v/>
      </c>
      <c r="M262" s="5" t="str">
        <f t="shared" si="23"/>
        <v/>
      </c>
      <c r="R262" s="5" t="str">
        <f>IF($A262="","",IFERROR(VLOOKUP($A262,Sheet1!A:AN,18,0),""))</f>
        <v/>
      </c>
      <c r="S262" s="5" t="str">
        <f>IF($A262="","",IFERROR(VLOOKUP($A262,Sheet1!$A:$AN,19,0),""))</f>
        <v/>
      </c>
      <c r="T262" s="5" t="str">
        <f t="shared" si="24"/>
        <v/>
      </c>
      <c r="U262" s="5" t="str">
        <f>IF($A262="","",IFERROR(VLOOKUP($A262,Sheet1!$A:$AN,21,0),""))</f>
        <v/>
      </c>
      <c r="V262" s="5" t="str">
        <f>IF($A262="","",IFERROR(SUBSTITUTE(VLOOKUP($A262,Sheet1!$A:$AN,22,0),"族",""),""))</f>
        <v/>
      </c>
      <c r="W262" s="5" t="str">
        <f>IF($A262="","",IFERROR(VLOOKUP($A262,Sheet1!$A:$AN,23,0),""))</f>
        <v/>
      </c>
      <c r="X262" s="5" t="str">
        <f>IF($A262="","",IFERROR(VLOOKUP($A262,Sheet1!$A:$AN,24,0),""))</f>
        <v/>
      </c>
      <c r="Y262" s="5" t="str">
        <f>IF($A262="","",IFERROR(VLOOKUP($A262,Sheet1!$A:$AN,25,0),""))</f>
        <v/>
      </c>
      <c r="AK262" s="5" t="str">
        <f>IF($A262="","",IFERROR(VLOOKUP($A262,Sheet1!$A:$AN,37,0),""))</f>
        <v/>
      </c>
      <c r="AL262" s="13" t="str">
        <f>IF($A262="","",IFERROR(VLOOKUP($A262,Sheet1!$A:$AN,38,0),""))</f>
        <v/>
      </c>
      <c r="AM262" s="13" t="str">
        <f>IF($A262="","",IFERROR(VLOOKUP($A262,Sheet1!$A:$AN,39,0),""))</f>
        <v/>
      </c>
      <c r="AN262" s="13" t="str">
        <f>IF($A262="","",IFERROR(VLOOKUP($A262,Sheet1!$A:$AN,40,0),""))</f>
        <v/>
      </c>
    </row>
    <row r="263" customHeight="1" spans="1:40">
      <c r="A263" s="5" t="str">
        <f>IF(Sheet1!$A263="","",Sheet1!$A263)</f>
        <v/>
      </c>
      <c r="B263" s="5" t="str">
        <f t="shared" si="20"/>
        <v/>
      </c>
      <c r="C263" s="5" t="str">
        <f>IF($A263="","",IFERROR(VLOOKUP($A263,Sheet1!$A:$AN,3,0),""))</f>
        <v/>
      </c>
      <c r="D263" s="5" t="str">
        <f t="shared" si="21"/>
        <v/>
      </c>
      <c r="I263" s="5" t="str">
        <f t="shared" si="22"/>
        <v/>
      </c>
      <c r="M263" s="5" t="str">
        <f t="shared" si="23"/>
        <v/>
      </c>
      <c r="R263" s="5" t="str">
        <f>IF($A263="","",IFERROR(VLOOKUP($A263,Sheet1!A:AN,18,0),""))</f>
        <v/>
      </c>
      <c r="S263" s="5" t="str">
        <f>IF($A263="","",IFERROR(VLOOKUP($A263,Sheet1!$A:$AN,19,0),""))</f>
        <v/>
      </c>
      <c r="T263" s="5" t="str">
        <f t="shared" si="24"/>
        <v/>
      </c>
      <c r="U263" s="5" t="str">
        <f>IF($A263="","",IFERROR(VLOOKUP($A263,Sheet1!$A:$AN,21,0),""))</f>
        <v/>
      </c>
      <c r="V263" s="5" t="str">
        <f>IF($A263="","",IFERROR(SUBSTITUTE(VLOOKUP($A263,Sheet1!$A:$AN,22,0),"族",""),""))</f>
        <v/>
      </c>
      <c r="W263" s="5" t="str">
        <f>IF($A263="","",IFERROR(VLOOKUP($A263,Sheet1!$A:$AN,23,0),""))</f>
        <v/>
      </c>
      <c r="X263" s="5" t="str">
        <f>IF($A263="","",IFERROR(VLOOKUP($A263,Sheet1!$A:$AN,24,0),""))</f>
        <v/>
      </c>
      <c r="Y263" s="5" t="str">
        <f>IF($A263="","",IFERROR(VLOOKUP($A263,Sheet1!$A:$AN,25,0),""))</f>
        <v/>
      </c>
      <c r="AK263" s="5" t="str">
        <f>IF($A263="","",IFERROR(VLOOKUP($A263,Sheet1!$A:$AN,37,0),""))</f>
        <v/>
      </c>
      <c r="AL263" s="13" t="str">
        <f>IF($A263="","",IFERROR(VLOOKUP($A263,Sheet1!$A:$AN,38,0),""))</f>
        <v/>
      </c>
      <c r="AM263" s="13" t="str">
        <f>IF($A263="","",IFERROR(VLOOKUP($A263,Sheet1!$A:$AN,39,0),""))</f>
        <v/>
      </c>
      <c r="AN263" s="13" t="str">
        <f>IF($A263="","",IFERROR(VLOOKUP($A263,Sheet1!$A:$AN,40,0),""))</f>
        <v/>
      </c>
    </row>
    <row r="264" customHeight="1" spans="1:40">
      <c r="A264" s="5" t="str">
        <f>IF(Sheet1!$A264="","",Sheet1!$A264)</f>
        <v/>
      </c>
      <c r="B264" s="5" t="str">
        <f t="shared" si="20"/>
        <v/>
      </c>
      <c r="C264" s="5" t="str">
        <f>IF($A264="","",IFERROR(VLOOKUP($A264,Sheet1!$A:$AN,3,0),""))</f>
        <v/>
      </c>
      <c r="D264" s="5" t="str">
        <f t="shared" si="21"/>
        <v/>
      </c>
      <c r="I264" s="5" t="str">
        <f t="shared" si="22"/>
        <v/>
      </c>
      <c r="M264" s="5" t="str">
        <f t="shared" si="23"/>
        <v/>
      </c>
      <c r="R264" s="5" t="str">
        <f>IF($A264="","",IFERROR(VLOOKUP($A264,Sheet1!A:AN,18,0),""))</f>
        <v/>
      </c>
      <c r="S264" s="5" t="str">
        <f>IF($A264="","",IFERROR(VLOOKUP($A264,Sheet1!$A:$AN,19,0),""))</f>
        <v/>
      </c>
      <c r="T264" s="5" t="str">
        <f t="shared" si="24"/>
        <v/>
      </c>
      <c r="U264" s="5" t="str">
        <f>IF($A264="","",IFERROR(VLOOKUP($A264,Sheet1!$A:$AN,21,0),""))</f>
        <v/>
      </c>
      <c r="V264" s="5" t="str">
        <f>IF($A264="","",IFERROR(SUBSTITUTE(VLOOKUP($A264,Sheet1!$A:$AN,22,0),"族",""),""))</f>
        <v/>
      </c>
      <c r="W264" s="5" t="str">
        <f>IF($A264="","",IFERROR(VLOOKUP($A264,Sheet1!$A:$AN,23,0),""))</f>
        <v/>
      </c>
      <c r="X264" s="5" t="str">
        <f>IF($A264="","",IFERROR(VLOOKUP($A264,Sheet1!$A:$AN,24,0),""))</f>
        <v/>
      </c>
      <c r="Y264" s="5" t="str">
        <f>IF($A264="","",IFERROR(VLOOKUP($A264,Sheet1!$A:$AN,25,0),""))</f>
        <v/>
      </c>
      <c r="AK264" s="5" t="str">
        <f>IF($A264="","",IFERROR(VLOOKUP($A264,Sheet1!$A:$AN,37,0),""))</f>
        <v/>
      </c>
      <c r="AL264" s="13" t="str">
        <f>IF($A264="","",IFERROR(VLOOKUP($A264,Sheet1!$A:$AN,38,0),""))</f>
        <v/>
      </c>
      <c r="AM264" s="13" t="str">
        <f>IF($A264="","",IFERROR(VLOOKUP($A264,Sheet1!$A:$AN,39,0),""))</f>
        <v/>
      </c>
      <c r="AN264" s="13" t="str">
        <f>IF($A264="","",IFERROR(VLOOKUP($A264,Sheet1!$A:$AN,40,0),""))</f>
        <v/>
      </c>
    </row>
    <row r="265" customHeight="1" spans="1:40">
      <c r="A265" s="5" t="str">
        <f>IF(Sheet1!$A265="","",Sheet1!$A265)</f>
        <v/>
      </c>
      <c r="B265" s="5" t="str">
        <f t="shared" si="20"/>
        <v/>
      </c>
      <c r="C265" s="5" t="str">
        <f>IF($A265="","",IFERROR(VLOOKUP($A265,Sheet1!$A:$AN,3,0),""))</f>
        <v/>
      </c>
      <c r="D265" s="5" t="str">
        <f t="shared" si="21"/>
        <v/>
      </c>
      <c r="I265" s="5" t="str">
        <f t="shared" si="22"/>
        <v/>
      </c>
      <c r="M265" s="5" t="str">
        <f t="shared" si="23"/>
        <v/>
      </c>
      <c r="R265" s="5" t="str">
        <f>IF($A265="","",IFERROR(VLOOKUP($A265,Sheet1!A:AN,18,0),""))</f>
        <v/>
      </c>
      <c r="S265" s="5" t="str">
        <f>IF($A265="","",IFERROR(VLOOKUP($A265,Sheet1!$A:$AN,19,0),""))</f>
        <v/>
      </c>
      <c r="T265" s="5" t="str">
        <f t="shared" si="24"/>
        <v/>
      </c>
      <c r="U265" s="5" t="str">
        <f>IF($A265="","",IFERROR(VLOOKUP($A265,Sheet1!$A:$AN,21,0),""))</f>
        <v/>
      </c>
      <c r="V265" s="5" t="str">
        <f>IF($A265="","",IFERROR(SUBSTITUTE(VLOOKUP($A265,Sheet1!$A:$AN,22,0),"族",""),""))</f>
        <v/>
      </c>
      <c r="W265" s="5" t="str">
        <f>IF($A265="","",IFERROR(VLOOKUP($A265,Sheet1!$A:$AN,23,0),""))</f>
        <v/>
      </c>
      <c r="X265" s="5" t="str">
        <f>IF($A265="","",IFERROR(VLOOKUP($A265,Sheet1!$A:$AN,24,0),""))</f>
        <v/>
      </c>
      <c r="Y265" s="5" t="str">
        <f>IF($A265="","",IFERROR(VLOOKUP($A265,Sheet1!$A:$AN,25,0),""))</f>
        <v/>
      </c>
      <c r="AK265" s="5" t="str">
        <f>IF($A265="","",IFERROR(VLOOKUP($A265,Sheet1!$A:$AN,37,0),""))</f>
        <v/>
      </c>
      <c r="AL265" s="13" t="str">
        <f>IF($A265="","",IFERROR(VLOOKUP($A265,Sheet1!$A:$AN,38,0),""))</f>
        <v/>
      </c>
      <c r="AM265" s="13" t="str">
        <f>IF($A265="","",IFERROR(VLOOKUP($A265,Sheet1!$A:$AN,39,0),""))</f>
        <v/>
      </c>
      <c r="AN265" s="13" t="str">
        <f>IF($A265="","",IFERROR(VLOOKUP($A265,Sheet1!$A:$AN,40,0),""))</f>
        <v/>
      </c>
    </row>
    <row r="266" customHeight="1" spans="1:40">
      <c r="A266" s="5" t="str">
        <f>IF(Sheet1!$A266="","",Sheet1!$A266)</f>
        <v/>
      </c>
      <c r="B266" s="5" t="str">
        <f t="shared" si="20"/>
        <v/>
      </c>
      <c r="C266" s="5" t="str">
        <f>IF($A266="","",IFERROR(VLOOKUP($A266,Sheet1!$A:$AN,3,0),""))</f>
        <v/>
      </c>
      <c r="D266" s="5" t="str">
        <f t="shared" si="21"/>
        <v/>
      </c>
      <c r="I266" s="5" t="str">
        <f t="shared" si="22"/>
        <v/>
      </c>
      <c r="M266" s="5" t="str">
        <f t="shared" si="23"/>
        <v/>
      </c>
      <c r="R266" s="5" t="str">
        <f>IF($A266="","",IFERROR(VLOOKUP($A266,Sheet1!A:AN,18,0),""))</f>
        <v/>
      </c>
      <c r="S266" s="5" t="str">
        <f>IF($A266="","",IFERROR(VLOOKUP($A266,Sheet1!$A:$AN,19,0),""))</f>
        <v/>
      </c>
      <c r="T266" s="5" t="str">
        <f t="shared" si="24"/>
        <v/>
      </c>
      <c r="U266" s="5" t="str">
        <f>IF($A266="","",IFERROR(VLOOKUP($A266,Sheet1!$A:$AN,21,0),""))</f>
        <v/>
      </c>
      <c r="V266" s="5" t="str">
        <f>IF($A266="","",IFERROR(SUBSTITUTE(VLOOKUP($A266,Sheet1!$A:$AN,22,0),"族",""),""))</f>
        <v/>
      </c>
      <c r="W266" s="5" t="str">
        <f>IF($A266="","",IFERROR(VLOOKUP($A266,Sheet1!$A:$AN,23,0),""))</f>
        <v/>
      </c>
      <c r="X266" s="5" t="str">
        <f>IF($A266="","",IFERROR(VLOOKUP($A266,Sheet1!$A:$AN,24,0),""))</f>
        <v/>
      </c>
      <c r="Y266" s="5" t="str">
        <f>IF($A266="","",IFERROR(VLOOKUP($A266,Sheet1!$A:$AN,25,0),""))</f>
        <v/>
      </c>
      <c r="AK266" s="5" t="str">
        <f>IF($A266="","",IFERROR(VLOOKUP($A266,Sheet1!$A:$AN,37,0),""))</f>
        <v/>
      </c>
      <c r="AL266" s="13" t="str">
        <f>IF($A266="","",IFERROR(VLOOKUP($A266,Sheet1!$A:$AN,38,0),""))</f>
        <v/>
      </c>
      <c r="AM266" s="13" t="str">
        <f>IF($A266="","",IFERROR(VLOOKUP($A266,Sheet1!$A:$AN,39,0),""))</f>
        <v/>
      </c>
      <c r="AN266" s="13" t="str">
        <f>IF($A266="","",IFERROR(VLOOKUP($A266,Sheet1!$A:$AN,40,0),""))</f>
        <v/>
      </c>
    </row>
    <row r="267" customHeight="1" spans="1:40">
      <c r="A267" s="5" t="str">
        <f>IF(Sheet1!$A267="","",Sheet1!$A267)</f>
        <v/>
      </c>
      <c r="B267" s="5" t="str">
        <f t="shared" si="20"/>
        <v/>
      </c>
      <c r="C267" s="5" t="str">
        <f>IF($A267="","",IFERROR(VLOOKUP($A267,Sheet1!$A:$AN,3,0),""))</f>
        <v/>
      </c>
      <c r="D267" s="5" t="str">
        <f t="shared" si="21"/>
        <v/>
      </c>
      <c r="I267" s="5" t="str">
        <f t="shared" si="22"/>
        <v/>
      </c>
      <c r="M267" s="5" t="str">
        <f t="shared" si="23"/>
        <v/>
      </c>
      <c r="R267" s="5" t="str">
        <f>IF($A267="","",IFERROR(VLOOKUP($A267,Sheet1!A:AN,18,0),""))</f>
        <v/>
      </c>
      <c r="S267" s="5" t="str">
        <f>IF($A267="","",IFERROR(VLOOKUP($A267,Sheet1!$A:$AN,19,0),""))</f>
        <v/>
      </c>
      <c r="T267" s="5" t="str">
        <f t="shared" si="24"/>
        <v/>
      </c>
      <c r="U267" s="5" t="str">
        <f>IF($A267="","",IFERROR(VLOOKUP($A267,Sheet1!$A:$AN,21,0),""))</f>
        <v/>
      </c>
      <c r="V267" s="5" t="str">
        <f>IF($A267="","",IFERROR(SUBSTITUTE(VLOOKUP($A267,Sheet1!$A:$AN,22,0),"族",""),""))</f>
        <v/>
      </c>
      <c r="W267" s="5" t="str">
        <f>IF($A267="","",IFERROR(VLOOKUP($A267,Sheet1!$A:$AN,23,0),""))</f>
        <v/>
      </c>
      <c r="X267" s="5" t="str">
        <f>IF($A267="","",IFERROR(VLOOKUP($A267,Sheet1!$A:$AN,24,0),""))</f>
        <v/>
      </c>
      <c r="Y267" s="5" t="str">
        <f>IF($A267="","",IFERROR(VLOOKUP($A267,Sheet1!$A:$AN,25,0),""))</f>
        <v/>
      </c>
      <c r="AK267" s="5" t="str">
        <f>IF($A267="","",IFERROR(VLOOKUP($A267,Sheet1!$A:$AN,37,0),""))</f>
        <v/>
      </c>
      <c r="AL267" s="13" t="str">
        <f>IF($A267="","",IFERROR(VLOOKUP($A267,Sheet1!$A:$AN,38,0),""))</f>
        <v/>
      </c>
      <c r="AM267" s="13" t="str">
        <f>IF($A267="","",IFERROR(VLOOKUP($A267,Sheet1!$A:$AN,39,0),""))</f>
        <v/>
      </c>
      <c r="AN267" s="13" t="str">
        <f>IF($A267="","",IFERROR(VLOOKUP($A267,Sheet1!$A:$AN,40,0),""))</f>
        <v/>
      </c>
    </row>
    <row r="268" customHeight="1" spans="1:40">
      <c r="A268" s="5" t="str">
        <f>IF(Sheet1!$A268="","",Sheet1!$A268)</f>
        <v/>
      </c>
      <c r="B268" s="5" t="str">
        <f t="shared" si="20"/>
        <v/>
      </c>
      <c r="C268" s="5" t="str">
        <f>IF($A268="","",IFERROR(VLOOKUP($A268,Sheet1!$A:$AN,3,0),""))</f>
        <v/>
      </c>
      <c r="D268" s="5" t="str">
        <f t="shared" si="21"/>
        <v/>
      </c>
      <c r="I268" s="5" t="str">
        <f t="shared" si="22"/>
        <v/>
      </c>
      <c r="M268" s="5" t="str">
        <f t="shared" si="23"/>
        <v/>
      </c>
      <c r="R268" s="5" t="str">
        <f>IF($A268="","",IFERROR(VLOOKUP($A268,Sheet1!A:AN,18,0),""))</f>
        <v/>
      </c>
      <c r="S268" s="5" t="str">
        <f>IF($A268="","",IFERROR(VLOOKUP($A268,Sheet1!$A:$AN,19,0),""))</f>
        <v/>
      </c>
      <c r="T268" s="5" t="str">
        <f t="shared" si="24"/>
        <v/>
      </c>
      <c r="U268" s="5" t="str">
        <f>IF($A268="","",IFERROR(VLOOKUP($A268,Sheet1!$A:$AN,21,0),""))</f>
        <v/>
      </c>
      <c r="V268" s="5" t="str">
        <f>IF($A268="","",IFERROR(SUBSTITUTE(VLOOKUP($A268,Sheet1!$A:$AN,22,0),"族",""),""))</f>
        <v/>
      </c>
      <c r="W268" s="5" t="str">
        <f>IF($A268="","",IFERROR(VLOOKUP($A268,Sheet1!$A:$AN,23,0),""))</f>
        <v/>
      </c>
      <c r="X268" s="5" t="str">
        <f>IF($A268="","",IFERROR(VLOOKUP($A268,Sheet1!$A:$AN,24,0),""))</f>
        <v/>
      </c>
      <c r="Y268" s="5" t="str">
        <f>IF($A268="","",IFERROR(VLOOKUP($A268,Sheet1!$A:$AN,25,0),""))</f>
        <v/>
      </c>
      <c r="AK268" s="5" t="str">
        <f>IF($A268="","",IFERROR(VLOOKUP($A268,Sheet1!$A:$AN,37,0),""))</f>
        <v/>
      </c>
      <c r="AL268" s="13" t="str">
        <f>IF($A268="","",IFERROR(VLOOKUP($A268,Sheet1!$A:$AN,38,0),""))</f>
        <v/>
      </c>
      <c r="AM268" s="13" t="str">
        <f>IF($A268="","",IFERROR(VLOOKUP($A268,Sheet1!$A:$AN,39,0),""))</f>
        <v/>
      </c>
      <c r="AN268" s="13" t="str">
        <f>IF($A268="","",IFERROR(VLOOKUP($A268,Sheet1!$A:$AN,40,0),""))</f>
        <v/>
      </c>
    </row>
    <row r="269" customHeight="1" spans="1:40">
      <c r="A269" s="5" t="str">
        <f>IF(Sheet1!$A269="","",Sheet1!$A269)</f>
        <v/>
      </c>
      <c r="B269" s="5" t="str">
        <f t="shared" si="20"/>
        <v/>
      </c>
      <c r="C269" s="5" t="str">
        <f>IF($A269="","",IFERROR(VLOOKUP($A269,Sheet1!$A:$AN,3,0),""))</f>
        <v/>
      </c>
      <c r="D269" s="5" t="str">
        <f t="shared" si="21"/>
        <v/>
      </c>
      <c r="I269" s="5" t="str">
        <f t="shared" si="22"/>
        <v/>
      </c>
      <c r="M269" s="5" t="str">
        <f t="shared" si="23"/>
        <v/>
      </c>
      <c r="R269" s="5" t="str">
        <f>IF($A269="","",IFERROR(VLOOKUP($A269,Sheet1!A:AN,18,0),""))</f>
        <v/>
      </c>
      <c r="S269" s="5" t="str">
        <f>IF($A269="","",IFERROR(VLOOKUP($A269,Sheet1!$A:$AN,19,0),""))</f>
        <v/>
      </c>
      <c r="T269" s="5" t="str">
        <f t="shared" si="24"/>
        <v/>
      </c>
      <c r="U269" s="5" t="str">
        <f>IF($A269="","",IFERROR(VLOOKUP($A269,Sheet1!$A:$AN,21,0),""))</f>
        <v/>
      </c>
      <c r="V269" s="5" t="str">
        <f>IF($A269="","",IFERROR(SUBSTITUTE(VLOOKUP($A269,Sheet1!$A:$AN,22,0),"族",""),""))</f>
        <v/>
      </c>
      <c r="W269" s="5" t="str">
        <f>IF($A269="","",IFERROR(VLOOKUP($A269,Sheet1!$A:$AN,23,0),""))</f>
        <v/>
      </c>
      <c r="X269" s="5" t="str">
        <f>IF($A269="","",IFERROR(VLOOKUP($A269,Sheet1!$A:$AN,24,0),""))</f>
        <v/>
      </c>
      <c r="Y269" s="5" t="str">
        <f>IF($A269="","",IFERROR(VLOOKUP($A269,Sheet1!$A:$AN,25,0),""))</f>
        <v/>
      </c>
      <c r="AK269" s="5" t="str">
        <f>IF($A269="","",IFERROR(VLOOKUP($A269,Sheet1!$A:$AN,37,0),""))</f>
        <v/>
      </c>
      <c r="AL269" s="13" t="str">
        <f>IF($A269="","",IFERROR(VLOOKUP($A269,Sheet1!$A:$AN,38,0),""))</f>
        <v/>
      </c>
      <c r="AM269" s="13" t="str">
        <f>IF($A269="","",IFERROR(VLOOKUP($A269,Sheet1!$A:$AN,39,0),""))</f>
        <v/>
      </c>
      <c r="AN269" s="13" t="str">
        <f>IF($A269="","",IFERROR(VLOOKUP($A269,Sheet1!$A:$AN,40,0),""))</f>
        <v/>
      </c>
    </row>
    <row r="270" customHeight="1" spans="1:40">
      <c r="A270" s="5" t="str">
        <f>IF(Sheet1!$A270="","",Sheet1!$A270)</f>
        <v/>
      </c>
      <c r="B270" s="5" t="str">
        <f t="shared" si="20"/>
        <v/>
      </c>
      <c r="C270" s="5" t="str">
        <f>IF($A270="","",IFERROR(VLOOKUP($A270,Sheet1!$A:$AN,3,0),""))</f>
        <v/>
      </c>
      <c r="D270" s="5" t="str">
        <f t="shared" si="21"/>
        <v/>
      </c>
      <c r="I270" s="5" t="str">
        <f t="shared" si="22"/>
        <v/>
      </c>
      <c r="M270" s="5" t="str">
        <f t="shared" si="23"/>
        <v/>
      </c>
      <c r="R270" s="5" t="str">
        <f>IF($A270="","",IFERROR(VLOOKUP($A270,Sheet1!A:AN,18,0),""))</f>
        <v/>
      </c>
      <c r="S270" s="5" t="str">
        <f>IF($A270="","",IFERROR(VLOOKUP($A270,Sheet1!$A:$AN,19,0),""))</f>
        <v/>
      </c>
      <c r="T270" s="5" t="str">
        <f t="shared" si="24"/>
        <v/>
      </c>
      <c r="U270" s="5" t="str">
        <f>IF($A270="","",IFERROR(VLOOKUP($A270,Sheet1!$A:$AN,21,0),""))</f>
        <v/>
      </c>
      <c r="V270" s="5" t="str">
        <f>IF($A270="","",IFERROR(SUBSTITUTE(VLOOKUP($A270,Sheet1!$A:$AN,22,0),"族",""),""))</f>
        <v/>
      </c>
      <c r="W270" s="5" t="str">
        <f>IF($A270="","",IFERROR(VLOOKUP($A270,Sheet1!$A:$AN,23,0),""))</f>
        <v/>
      </c>
      <c r="X270" s="5" t="str">
        <f>IF($A270="","",IFERROR(VLOOKUP($A270,Sheet1!$A:$AN,24,0),""))</f>
        <v/>
      </c>
      <c r="Y270" s="5" t="str">
        <f>IF($A270="","",IFERROR(VLOOKUP($A270,Sheet1!$A:$AN,25,0),""))</f>
        <v/>
      </c>
      <c r="AK270" s="5" t="str">
        <f>IF($A270="","",IFERROR(VLOOKUP($A270,Sheet1!$A:$AN,37,0),""))</f>
        <v/>
      </c>
      <c r="AL270" s="13" t="str">
        <f>IF($A270="","",IFERROR(VLOOKUP($A270,Sheet1!$A:$AN,38,0),""))</f>
        <v/>
      </c>
      <c r="AM270" s="13" t="str">
        <f>IF($A270="","",IFERROR(VLOOKUP($A270,Sheet1!$A:$AN,39,0),""))</f>
        <v/>
      </c>
      <c r="AN270" s="13" t="str">
        <f>IF($A270="","",IFERROR(VLOOKUP($A270,Sheet1!$A:$AN,40,0),""))</f>
        <v/>
      </c>
    </row>
    <row r="271" customHeight="1" spans="1:40">
      <c r="A271" s="5" t="str">
        <f>IF(Sheet1!$A271="","",Sheet1!$A271)</f>
        <v/>
      </c>
      <c r="B271" s="5" t="str">
        <f t="shared" si="20"/>
        <v/>
      </c>
      <c r="C271" s="5" t="str">
        <f>IF($A271="","",IFERROR(VLOOKUP($A271,Sheet1!$A:$AN,3,0),""))</f>
        <v/>
      </c>
      <c r="D271" s="5" t="str">
        <f t="shared" si="21"/>
        <v/>
      </c>
      <c r="I271" s="5" t="str">
        <f t="shared" si="22"/>
        <v/>
      </c>
      <c r="M271" s="5" t="str">
        <f t="shared" si="23"/>
        <v/>
      </c>
      <c r="R271" s="5" t="str">
        <f>IF($A271="","",IFERROR(VLOOKUP($A271,Sheet1!A:AN,18,0),""))</f>
        <v/>
      </c>
      <c r="S271" s="5" t="str">
        <f>IF($A271="","",IFERROR(VLOOKUP($A271,Sheet1!$A:$AN,19,0),""))</f>
        <v/>
      </c>
      <c r="T271" s="5" t="str">
        <f t="shared" si="24"/>
        <v/>
      </c>
      <c r="U271" s="5" t="str">
        <f>IF($A271="","",IFERROR(VLOOKUP($A271,Sheet1!$A:$AN,21,0),""))</f>
        <v/>
      </c>
      <c r="V271" s="5" t="str">
        <f>IF($A271="","",IFERROR(SUBSTITUTE(VLOOKUP($A271,Sheet1!$A:$AN,22,0),"族",""),""))</f>
        <v/>
      </c>
      <c r="W271" s="5" t="str">
        <f>IF($A271="","",IFERROR(VLOOKUP($A271,Sheet1!$A:$AN,23,0),""))</f>
        <v/>
      </c>
      <c r="X271" s="5" t="str">
        <f>IF($A271="","",IFERROR(VLOOKUP($A271,Sheet1!$A:$AN,24,0),""))</f>
        <v/>
      </c>
      <c r="Y271" s="5" t="str">
        <f>IF($A271="","",IFERROR(VLOOKUP($A271,Sheet1!$A:$AN,25,0),""))</f>
        <v/>
      </c>
      <c r="AK271" s="5" t="str">
        <f>IF($A271="","",IFERROR(VLOOKUP($A271,Sheet1!$A:$AN,37,0),""))</f>
        <v/>
      </c>
      <c r="AL271" s="13" t="str">
        <f>IF($A271="","",IFERROR(VLOOKUP($A271,Sheet1!$A:$AN,38,0),""))</f>
        <v/>
      </c>
      <c r="AM271" s="13" t="str">
        <f>IF($A271="","",IFERROR(VLOOKUP($A271,Sheet1!$A:$AN,39,0),""))</f>
        <v/>
      </c>
      <c r="AN271" s="13" t="str">
        <f>IF($A271="","",IFERROR(VLOOKUP($A271,Sheet1!$A:$AN,40,0),""))</f>
        <v/>
      </c>
    </row>
    <row r="272" customHeight="1" spans="1:40">
      <c r="A272" s="5" t="str">
        <f>IF(Sheet1!$A272="","",Sheet1!$A272)</f>
        <v/>
      </c>
      <c r="B272" s="5" t="str">
        <f t="shared" si="20"/>
        <v/>
      </c>
      <c r="C272" s="5" t="str">
        <f>IF($A272="","",IFERROR(VLOOKUP($A272,Sheet1!$A:$AN,3,0),""))</f>
        <v/>
      </c>
      <c r="D272" s="5" t="str">
        <f t="shared" si="21"/>
        <v/>
      </c>
      <c r="I272" s="5" t="str">
        <f t="shared" si="22"/>
        <v/>
      </c>
      <c r="M272" s="5" t="str">
        <f t="shared" si="23"/>
        <v/>
      </c>
      <c r="R272" s="5" t="str">
        <f>IF($A272="","",IFERROR(VLOOKUP($A272,Sheet1!A:AN,18,0),""))</f>
        <v/>
      </c>
      <c r="S272" s="5" t="str">
        <f>IF($A272="","",IFERROR(VLOOKUP($A272,Sheet1!$A:$AN,19,0),""))</f>
        <v/>
      </c>
      <c r="T272" s="5" t="str">
        <f t="shared" si="24"/>
        <v/>
      </c>
      <c r="U272" s="5" t="str">
        <f>IF($A272="","",IFERROR(VLOOKUP($A272,Sheet1!$A:$AN,21,0),""))</f>
        <v/>
      </c>
      <c r="V272" s="5" t="str">
        <f>IF($A272="","",IFERROR(SUBSTITUTE(VLOOKUP($A272,Sheet1!$A:$AN,22,0),"族",""),""))</f>
        <v/>
      </c>
      <c r="W272" s="5" t="str">
        <f>IF($A272="","",IFERROR(VLOOKUP($A272,Sheet1!$A:$AN,23,0),""))</f>
        <v/>
      </c>
      <c r="X272" s="5" t="str">
        <f>IF($A272="","",IFERROR(VLOOKUP($A272,Sheet1!$A:$AN,24,0),""))</f>
        <v/>
      </c>
      <c r="Y272" s="5" t="str">
        <f>IF($A272="","",IFERROR(VLOOKUP($A272,Sheet1!$A:$AN,25,0),""))</f>
        <v/>
      </c>
      <c r="AK272" s="5" t="str">
        <f>IF($A272="","",IFERROR(VLOOKUP($A272,Sheet1!$A:$AN,37,0),""))</f>
        <v/>
      </c>
      <c r="AL272" s="13" t="str">
        <f>IF($A272="","",IFERROR(VLOOKUP($A272,Sheet1!$A:$AN,38,0),""))</f>
        <v/>
      </c>
      <c r="AM272" s="13" t="str">
        <f>IF($A272="","",IFERROR(VLOOKUP($A272,Sheet1!$A:$AN,39,0),""))</f>
        <v/>
      </c>
      <c r="AN272" s="13" t="str">
        <f>IF($A272="","",IFERROR(VLOOKUP($A272,Sheet1!$A:$AN,40,0),""))</f>
        <v/>
      </c>
    </row>
    <row r="273" customHeight="1" spans="1:40">
      <c r="A273" s="5" t="str">
        <f>IF(Sheet1!$A273="","",Sheet1!$A273)</f>
        <v/>
      </c>
      <c r="B273" s="5" t="str">
        <f t="shared" si="20"/>
        <v/>
      </c>
      <c r="C273" s="5" t="str">
        <f>IF($A273="","",IFERROR(VLOOKUP($A273,Sheet1!$A:$AN,3,0),""))</f>
        <v/>
      </c>
      <c r="D273" s="5" t="str">
        <f t="shared" si="21"/>
        <v/>
      </c>
      <c r="I273" s="5" t="str">
        <f t="shared" si="22"/>
        <v/>
      </c>
      <c r="M273" s="5" t="str">
        <f t="shared" si="23"/>
        <v/>
      </c>
      <c r="R273" s="5" t="str">
        <f>IF($A273="","",IFERROR(VLOOKUP($A273,Sheet1!A:AN,18,0),""))</f>
        <v/>
      </c>
      <c r="S273" s="5" t="str">
        <f>IF($A273="","",IFERROR(VLOOKUP($A273,Sheet1!$A:$AN,19,0),""))</f>
        <v/>
      </c>
      <c r="T273" s="5" t="str">
        <f t="shared" si="24"/>
        <v/>
      </c>
      <c r="U273" s="5" t="str">
        <f>IF($A273="","",IFERROR(VLOOKUP($A273,Sheet1!$A:$AN,21,0),""))</f>
        <v/>
      </c>
      <c r="V273" s="5" t="str">
        <f>IF($A273="","",IFERROR(SUBSTITUTE(VLOOKUP($A273,Sheet1!$A:$AN,22,0),"族",""),""))</f>
        <v/>
      </c>
      <c r="W273" s="5" t="str">
        <f>IF($A273="","",IFERROR(VLOOKUP($A273,Sheet1!$A:$AN,23,0),""))</f>
        <v/>
      </c>
      <c r="X273" s="5" t="str">
        <f>IF($A273="","",IFERROR(VLOOKUP($A273,Sheet1!$A:$AN,24,0),""))</f>
        <v/>
      </c>
      <c r="Y273" s="5" t="str">
        <f>IF($A273="","",IFERROR(VLOOKUP($A273,Sheet1!$A:$AN,25,0),""))</f>
        <v/>
      </c>
      <c r="AK273" s="5" t="str">
        <f>IF($A273="","",IFERROR(VLOOKUP($A273,Sheet1!$A:$AN,37,0),""))</f>
        <v/>
      </c>
      <c r="AL273" s="13" t="str">
        <f>IF($A273="","",IFERROR(VLOOKUP($A273,Sheet1!$A:$AN,38,0),""))</f>
        <v/>
      </c>
      <c r="AM273" s="13" t="str">
        <f>IF($A273="","",IFERROR(VLOOKUP($A273,Sheet1!$A:$AN,39,0),""))</f>
        <v/>
      </c>
      <c r="AN273" s="13" t="str">
        <f>IF($A273="","",IFERROR(VLOOKUP($A273,Sheet1!$A:$AN,40,0),""))</f>
        <v/>
      </c>
    </row>
    <row r="274" customHeight="1" spans="1:40">
      <c r="A274" s="5" t="str">
        <f>IF(Sheet1!$A274="","",Sheet1!$A274)</f>
        <v/>
      </c>
      <c r="B274" s="5" t="str">
        <f t="shared" si="20"/>
        <v/>
      </c>
      <c r="C274" s="5" t="str">
        <f>IF($A274="","",IFERROR(VLOOKUP($A274,Sheet1!$A:$AN,3,0),""))</f>
        <v/>
      </c>
      <c r="D274" s="5" t="str">
        <f t="shared" si="21"/>
        <v/>
      </c>
      <c r="I274" s="5" t="str">
        <f t="shared" si="22"/>
        <v/>
      </c>
      <c r="M274" s="5" t="str">
        <f t="shared" si="23"/>
        <v/>
      </c>
      <c r="R274" s="5" t="str">
        <f>IF($A274="","",IFERROR(VLOOKUP($A274,Sheet1!A:AN,18,0),""))</f>
        <v/>
      </c>
      <c r="S274" s="5" t="str">
        <f>IF($A274="","",IFERROR(VLOOKUP($A274,Sheet1!$A:$AN,19,0),""))</f>
        <v/>
      </c>
      <c r="T274" s="5" t="str">
        <f t="shared" si="24"/>
        <v/>
      </c>
      <c r="U274" s="5" t="str">
        <f>IF($A274="","",IFERROR(VLOOKUP($A274,Sheet1!$A:$AN,21,0),""))</f>
        <v/>
      </c>
      <c r="V274" s="5" t="str">
        <f>IF($A274="","",IFERROR(SUBSTITUTE(VLOOKUP($A274,Sheet1!$A:$AN,22,0),"族",""),""))</f>
        <v/>
      </c>
      <c r="W274" s="5" t="str">
        <f>IF($A274="","",IFERROR(VLOOKUP($A274,Sheet1!$A:$AN,23,0),""))</f>
        <v/>
      </c>
      <c r="X274" s="5" t="str">
        <f>IF($A274="","",IFERROR(VLOOKUP($A274,Sheet1!$A:$AN,24,0),""))</f>
        <v/>
      </c>
      <c r="Y274" s="5" t="str">
        <f>IF($A274="","",IFERROR(VLOOKUP($A274,Sheet1!$A:$AN,25,0),""))</f>
        <v/>
      </c>
      <c r="AK274" s="5" t="str">
        <f>IF($A274="","",IFERROR(VLOOKUP($A274,Sheet1!$A:$AN,37,0),""))</f>
        <v/>
      </c>
      <c r="AL274" s="13" t="str">
        <f>IF($A274="","",IFERROR(VLOOKUP($A274,Sheet1!$A:$AN,38,0),""))</f>
        <v/>
      </c>
      <c r="AM274" s="13" t="str">
        <f>IF($A274="","",IFERROR(VLOOKUP($A274,Sheet1!$A:$AN,39,0),""))</f>
        <v/>
      </c>
      <c r="AN274" s="13" t="str">
        <f>IF($A274="","",IFERROR(VLOOKUP($A274,Sheet1!$A:$AN,40,0),""))</f>
        <v/>
      </c>
    </row>
    <row r="275" customHeight="1" spans="1:40">
      <c r="A275" s="5" t="str">
        <f>IF(Sheet1!$A275="","",Sheet1!$A275)</f>
        <v/>
      </c>
      <c r="B275" s="5" t="str">
        <f t="shared" si="20"/>
        <v/>
      </c>
      <c r="C275" s="5" t="str">
        <f>IF($A275="","",IFERROR(VLOOKUP($A275,Sheet1!$A:$AN,3,0),""))</f>
        <v/>
      </c>
      <c r="D275" s="5" t="str">
        <f t="shared" si="21"/>
        <v/>
      </c>
      <c r="I275" s="5" t="str">
        <f t="shared" si="22"/>
        <v/>
      </c>
      <c r="M275" s="5" t="str">
        <f t="shared" si="23"/>
        <v/>
      </c>
      <c r="R275" s="5" t="str">
        <f>IF($A275="","",IFERROR(VLOOKUP($A275,Sheet1!A:AN,18,0),""))</f>
        <v/>
      </c>
      <c r="S275" s="5" t="str">
        <f>IF($A275="","",IFERROR(VLOOKUP($A275,Sheet1!$A:$AN,19,0),""))</f>
        <v/>
      </c>
      <c r="T275" s="5" t="str">
        <f t="shared" si="24"/>
        <v/>
      </c>
      <c r="U275" s="5" t="str">
        <f>IF($A275="","",IFERROR(VLOOKUP($A275,Sheet1!$A:$AN,21,0),""))</f>
        <v/>
      </c>
      <c r="V275" s="5" t="str">
        <f>IF($A275="","",IFERROR(SUBSTITUTE(VLOOKUP($A275,Sheet1!$A:$AN,22,0),"族",""),""))</f>
        <v/>
      </c>
      <c r="W275" s="5" t="str">
        <f>IF($A275="","",IFERROR(VLOOKUP($A275,Sheet1!$A:$AN,23,0),""))</f>
        <v/>
      </c>
      <c r="X275" s="5" t="str">
        <f>IF($A275="","",IFERROR(VLOOKUP($A275,Sheet1!$A:$AN,24,0),""))</f>
        <v/>
      </c>
      <c r="Y275" s="5" t="str">
        <f>IF($A275="","",IFERROR(VLOOKUP($A275,Sheet1!$A:$AN,25,0),""))</f>
        <v/>
      </c>
      <c r="AK275" s="5" t="str">
        <f>IF($A275="","",IFERROR(VLOOKUP($A275,Sheet1!$A:$AN,37,0),""))</f>
        <v/>
      </c>
      <c r="AL275" s="13" t="str">
        <f>IF($A275="","",IFERROR(VLOOKUP($A275,Sheet1!$A:$AN,38,0),""))</f>
        <v/>
      </c>
      <c r="AM275" s="13" t="str">
        <f>IF($A275="","",IFERROR(VLOOKUP($A275,Sheet1!$A:$AN,39,0),""))</f>
        <v/>
      </c>
      <c r="AN275" s="13" t="str">
        <f>IF($A275="","",IFERROR(VLOOKUP($A275,Sheet1!$A:$AN,40,0),""))</f>
        <v/>
      </c>
    </row>
    <row r="276" customHeight="1" spans="1:40">
      <c r="A276" s="5" t="str">
        <f>IF(Sheet1!$A276="","",Sheet1!$A276)</f>
        <v/>
      </c>
      <c r="B276" s="5" t="str">
        <f t="shared" si="20"/>
        <v/>
      </c>
      <c r="C276" s="5" t="str">
        <f>IF($A276="","",IFERROR(VLOOKUP($A276,Sheet1!$A:$AN,3,0),""))</f>
        <v/>
      </c>
      <c r="D276" s="5" t="str">
        <f t="shared" si="21"/>
        <v/>
      </c>
      <c r="I276" s="5" t="str">
        <f t="shared" si="22"/>
        <v/>
      </c>
      <c r="M276" s="5" t="str">
        <f t="shared" si="23"/>
        <v/>
      </c>
      <c r="R276" s="5" t="str">
        <f>IF($A276="","",IFERROR(VLOOKUP($A276,Sheet1!A:AN,18,0),""))</f>
        <v/>
      </c>
      <c r="S276" s="5" t="str">
        <f>IF($A276="","",IFERROR(VLOOKUP($A276,Sheet1!$A:$AN,19,0),""))</f>
        <v/>
      </c>
      <c r="T276" s="5" t="str">
        <f t="shared" si="24"/>
        <v/>
      </c>
      <c r="U276" s="5" t="str">
        <f>IF($A276="","",IFERROR(VLOOKUP($A276,Sheet1!$A:$AN,21,0),""))</f>
        <v/>
      </c>
      <c r="V276" s="5" t="str">
        <f>IF($A276="","",IFERROR(SUBSTITUTE(VLOOKUP($A276,Sheet1!$A:$AN,22,0),"族",""),""))</f>
        <v/>
      </c>
      <c r="W276" s="5" t="str">
        <f>IF($A276="","",IFERROR(VLOOKUP($A276,Sheet1!$A:$AN,23,0),""))</f>
        <v/>
      </c>
      <c r="X276" s="5" t="str">
        <f>IF($A276="","",IFERROR(VLOOKUP($A276,Sheet1!$A:$AN,24,0),""))</f>
        <v/>
      </c>
      <c r="Y276" s="5" t="str">
        <f>IF($A276="","",IFERROR(VLOOKUP($A276,Sheet1!$A:$AN,25,0),""))</f>
        <v/>
      </c>
      <c r="AK276" s="5" t="str">
        <f>IF($A276="","",IFERROR(VLOOKUP($A276,Sheet1!$A:$AN,37,0),""))</f>
        <v/>
      </c>
      <c r="AL276" s="13" t="str">
        <f>IF($A276="","",IFERROR(VLOOKUP($A276,Sheet1!$A:$AN,38,0),""))</f>
        <v/>
      </c>
      <c r="AM276" s="13" t="str">
        <f>IF($A276="","",IFERROR(VLOOKUP($A276,Sheet1!$A:$AN,39,0),""))</f>
        <v/>
      </c>
      <c r="AN276" s="13" t="str">
        <f>IF($A276="","",IFERROR(VLOOKUP($A276,Sheet1!$A:$AN,40,0),""))</f>
        <v/>
      </c>
    </row>
    <row r="277" customHeight="1" spans="1:40">
      <c r="A277" s="5" t="str">
        <f>IF(Sheet1!$A277="","",Sheet1!$A277)</f>
        <v/>
      </c>
      <c r="B277" s="5" t="str">
        <f t="shared" si="20"/>
        <v/>
      </c>
      <c r="C277" s="5" t="str">
        <f>IF($A277="","",IFERROR(VLOOKUP($A277,Sheet1!$A:$AN,3,0),""))</f>
        <v/>
      </c>
      <c r="D277" s="5" t="str">
        <f t="shared" si="21"/>
        <v/>
      </c>
      <c r="I277" s="5" t="str">
        <f t="shared" si="22"/>
        <v/>
      </c>
      <c r="M277" s="5" t="str">
        <f t="shared" si="23"/>
        <v/>
      </c>
      <c r="R277" s="5" t="str">
        <f>IF($A277="","",IFERROR(VLOOKUP($A277,Sheet1!A:AN,18,0),""))</f>
        <v/>
      </c>
      <c r="S277" s="5" t="str">
        <f>IF($A277="","",IFERROR(VLOOKUP($A277,Sheet1!$A:$AN,19,0),""))</f>
        <v/>
      </c>
      <c r="T277" s="5" t="str">
        <f t="shared" si="24"/>
        <v/>
      </c>
      <c r="U277" s="5" t="str">
        <f>IF($A277="","",IFERROR(VLOOKUP($A277,Sheet1!$A:$AN,21,0),""))</f>
        <v/>
      </c>
      <c r="V277" s="5" t="str">
        <f>IF($A277="","",IFERROR(SUBSTITUTE(VLOOKUP($A277,Sheet1!$A:$AN,22,0),"族",""),""))</f>
        <v/>
      </c>
      <c r="W277" s="5" t="str">
        <f>IF($A277="","",IFERROR(VLOOKUP($A277,Sheet1!$A:$AN,23,0),""))</f>
        <v/>
      </c>
      <c r="X277" s="5" t="str">
        <f>IF($A277="","",IFERROR(VLOOKUP($A277,Sheet1!$A:$AN,24,0),""))</f>
        <v/>
      </c>
      <c r="Y277" s="5" t="str">
        <f>IF($A277="","",IFERROR(VLOOKUP($A277,Sheet1!$A:$AN,25,0),""))</f>
        <v/>
      </c>
      <c r="AK277" s="5" t="str">
        <f>IF($A277="","",IFERROR(VLOOKUP($A277,Sheet1!$A:$AN,37,0),""))</f>
        <v/>
      </c>
      <c r="AL277" s="13" t="str">
        <f>IF($A277="","",IFERROR(VLOOKUP($A277,Sheet1!$A:$AN,38,0),""))</f>
        <v/>
      </c>
      <c r="AM277" s="13" t="str">
        <f>IF($A277="","",IFERROR(VLOOKUP($A277,Sheet1!$A:$AN,39,0),""))</f>
        <v/>
      </c>
      <c r="AN277" s="13" t="str">
        <f>IF($A277="","",IFERROR(VLOOKUP($A277,Sheet1!$A:$AN,40,0),""))</f>
        <v/>
      </c>
    </row>
    <row r="278" customHeight="1" spans="1:40">
      <c r="A278" s="5" t="str">
        <f>IF(Sheet1!$A278="","",Sheet1!$A278)</f>
        <v/>
      </c>
      <c r="B278" s="5" t="str">
        <f t="shared" si="20"/>
        <v/>
      </c>
      <c r="C278" s="5" t="str">
        <f>IF($A278="","",IFERROR(VLOOKUP($A278,Sheet1!$A:$AN,3,0),""))</f>
        <v/>
      </c>
      <c r="D278" s="5" t="str">
        <f t="shared" si="21"/>
        <v/>
      </c>
      <c r="I278" s="5" t="str">
        <f t="shared" si="22"/>
        <v/>
      </c>
      <c r="M278" s="5" t="str">
        <f t="shared" si="23"/>
        <v/>
      </c>
      <c r="R278" s="5" t="str">
        <f>IF($A278="","",IFERROR(VLOOKUP($A278,Sheet1!A:AN,18,0),""))</f>
        <v/>
      </c>
      <c r="S278" s="5" t="str">
        <f>IF($A278="","",IFERROR(VLOOKUP($A278,Sheet1!$A:$AN,19,0),""))</f>
        <v/>
      </c>
      <c r="T278" s="5" t="str">
        <f t="shared" si="24"/>
        <v/>
      </c>
      <c r="U278" s="5" t="str">
        <f>IF($A278="","",IFERROR(VLOOKUP($A278,Sheet1!$A:$AN,21,0),""))</f>
        <v/>
      </c>
      <c r="V278" s="5" t="str">
        <f>IF($A278="","",IFERROR(SUBSTITUTE(VLOOKUP($A278,Sheet1!$A:$AN,22,0),"族",""),""))</f>
        <v/>
      </c>
      <c r="W278" s="5" t="str">
        <f>IF($A278="","",IFERROR(VLOOKUP($A278,Sheet1!$A:$AN,23,0),""))</f>
        <v/>
      </c>
      <c r="X278" s="5" t="str">
        <f>IF($A278="","",IFERROR(VLOOKUP($A278,Sheet1!$A:$AN,24,0),""))</f>
        <v/>
      </c>
      <c r="Y278" s="5" t="str">
        <f>IF($A278="","",IFERROR(VLOOKUP($A278,Sheet1!$A:$AN,25,0),""))</f>
        <v/>
      </c>
      <c r="AK278" s="5" t="str">
        <f>IF($A278="","",IFERROR(VLOOKUP($A278,Sheet1!$A:$AN,37,0),""))</f>
        <v/>
      </c>
      <c r="AL278" s="13" t="str">
        <f>IF($A278="","",IFERROR(VLOOKUP($A278,Sheet1!$A:$AN,38,0),""))</f>
        <v/>
      </c>
      <c r="AM278" s="13" t="str">
        <f>IF($A278="","",IFERROR(VLOOKUP($A278,Sheet1!$A:$AN,39,0),""))</f>
        <v/>
      </c>
      <c r="AN278" s="13" t="str">
        <f>IF($A278="","",IFERROR(VLOOKUP($A278,Sheet1!$A:$AN,40,0),""))</f>
        <v/>
      </c>
    </row>
    <row r="279" customHeight="1" spans="1:40">
      <c r="A279" s="5" t="str">
        <f>IF(Sheet1!$A279="","",Sheet1!$A279)</f>
        <v/>
      </c>
      <c r="B279" s="5" t="str">
        <f t="shared" si="20"/>
        <v/>
      </c>
      <c r="C279" s="5" t="str">
        <f>IF($A279="","",IFERROR(VLOOKUP($A279,Sheet1!$A:$AN,3,0),""))</f>
        <v/>
      </c>
      <c r="D279" s="5" t="str">
        <f t="shared" si="21"/>
        <v/>
      </c>
      <c r="I279" s="5" t="str">
        <f t="shared" si="22"/>
        <v/>
      </c>
      <c r="M279" s="5" t="str">
        <f t="shared" si="23"/>
        <v/>
      </c>
      <c r="R279" s="5" t="str">
        <f>IF($A279="","",IFERROR(VLOOKUP($A279,Sheet1!A:AN,18,0),""))</f>
        <v/>
      </c>
      <c r="S279" s="5" t="str">
        <f>IF($A279="","",IFERROR(VLOOKUP($A279,Sheet1!$A:$AN,19,0),""))</f>
        <v/>
      </c>
      <c r="T279" s="5" t="str">
        <f t="shared" si="24"/>
        <v/>
      </c>
      <c r="U279" s="5" t="str">
        <f>IF($A279="","",IFERROR(VLOOKUP($A279,Sheet1!$A:$AN,21,0),""))</f>
        <v/>
      </c>
      <c r="V279" s="5" t="str">
        <f>IF($A279="","",IFERROR(SUBSTITUTE(VLOOKUP($A279,Sheet1!$A:$AN,22,0),"族",""),""))</f>
        <v/>
      </c>
      <c r="W279" s="5" t="str">
        <f>IF($A279="","",IFERROR(VLOOKUP($A279,Sheet1!$A:$AN,23,0),""))</f>
        <v/>
      </c>
      <c r="X279" s="5" t="str">
        <f>IF($A279="","",IFERROR(VLOOKUP($A279,Sheet1!$A:$AN,24,0),""))</f>
        <v/>
      </c>
      <c r="Y279" s="5" t="str">
        <f>IF($A279="","",IFERROR(VLOOKUP($A279,Sheet1!$A:$AN,25,0),""))</f>
        <v/>
      </c>
      <c r="AK279" s="5" t="str">
        <f>IF($A279="","",IFERROR(VLOOKUP($A279,Sheet1!$A:$AN,37,0),""))</f>
        <v/>
      </c>
      <c r="AL279" s="13" t="str">
        <f>IF($A279="","",IFERROR(VLOOKUP($A279,Sheet1!$A:$AN,38,0),""))</f>
        <v/>
      </c>
      <c r="AM279" s="13" t="str">
        <f>IF($A279="","",IFERROR(VLOOKUP($A279,Sheet1!$A:$AN,39,0),""))</f>
        <v/>
      </c>
      <c r="AN279" s="13" t="str">
        <f>IF($A279="","",IFERROR(VLOOKUP($A279,Sheet1!$A:$AN,40,0),""))</f>
        <v/>
      </c>
    </row>
    <row r="280" customHeight="1" spans="1:40">
      <c r="A280" s="5" t="str">
        <f>IF(Sheet1!$A280="","",Sheet1!$A280)</f>
        <v/>
      </c>
      <c r="B280" s="5" t="str">
        <f t="shared" si="20"/>
        <v/>
      </c>
      <c r="C280" s="5" t="str">
        <f>IF($A280="","",IFERROR(VLOOKUP($A280,Sheet1!$A:$AN,3,0),""))</f>
        <v/>
      </c>
      <c r="D280" s="5" t="str">
        <f t="shared" si="21"/>
        <v/>
      </c>
      <c r="I280" s="5" t="str">
        <f t="shared" si="22"/>
        <v/>
      </c>
      <c r="M280" s="5" t="str">
        <f t="shared" si="23"/>
        <v/>
      </c>
      <c r="R280" s="5" t="str">
        <f>IF($A280="","",IFERROR(VLOOKUP($A280,Sheet1!A:AN,18,0),""))</f>
        <v/>
      </c>
      <c r="S280" s="5" t="str">
        <f>IF($A280="","",IFERROR(VLOOKUP($A280,Sheet1!$A:$AN,19,0),""))</f>
        <v/>
      </c>
      <c r="T280" s="5" t="str">
        <f t="shared" si="24"/>
        <v/>
      </c>
      <c r="U280" s="5" t="str">
        <f>IF($A280="","",IFERROR(VLOOKUP($A280,Sheet1!$A:$AN,21,0),""))</f>
        <v/>
      </c>
      <c r="V280" s="5" t="str">
        <f>IF($A280="","",IFERROR(SUBSTITUTE(VLOOKUP($A280,Sheet1!$A:$AN,22,0),"族",""),""))</f>
        <v/>
      </c>
      <c r="W280" s="5" t="str">
        <f>IF($A280="","",IFERROR(VLOOKUP($A280,Sheet1!$A:$AN,23,0),""))</f>
        <v/>
      </c>
      <c r="X280" s="5" t="str">
        <f>IF($A280="","",IFERROR(VLOOKUP($A280,Sheet1!$A:$AN,24,0),""))</f>
        <v/>
      </c>
      <c r="Y280" s="5" t="str">
        <f>IF($A280="","",IFERROR(VLOOKUP($A280,Sheet1!$A:$AN,25,0),""))</f>
        <v/>
      </c>
      <c r="AK280" s="5" t="str">
        <f>IF($A280="","",IFERROR(VLOOKUP($A280,Sheet1!$A:$AN,37,0),""))</f>
        <v/>
      </c>
      <c r="AL280" s="13" t="str">
        <f>IF($A280="","",IFERROR(VLOOKUP($A280,Sheet1!$A:$AN,38,0),""))</f>
        <v/>
      </c>
      <c r="AM280" s="13" t="str">
        <f>IF($A280="","",IFERROR(VLOOKUP($A280,Sheet1!$A:$AN,39,0),""))</f>
        <v/>
      </c>
      <c r="AN280" s="13" t="str">
        <f>IF($A280="","",IFERROR(VLOOKUP($A280,Sheet1!$A:$AN,40,0),""))</f>
        <v/>
      </c>
    </row>
    <row r="281" customHeight="1" spans="1:40">
      <c r="A281" s="5" t="str">
        <f>IF(Sheet1!$A281="","",Sheet1!$A281)</f>
        <v/>
      </c>
      <c r="B281" s="5" t="str">
        <f t="shared" si="20"/>
        <v/>
      </c>
      <c r="C281" s="5" t="str">
        <f>IF($A281="","",IFERROR(VLOOKUP($A281,Sheet1!$A:$AN,3,0),""))</f>
        <v/>
      </c>
      <c r="D281" s="5" t="str">
        <f t="shared" si="21"/>
        <v/>
      </c>
      <c r="I281" s="5" t="str">
        <f t="shared" si="22"/>
        <v/>
      </c>
      <c r="M281" s="5" t="str">
        <f t="shared" si="23"/>
        <v/>
      </c>
      <c r="R281" s="5" t="str">
        <f>IF($A281="","",IFERROR(VLOOKUP($A281,Sheet1!A:AN,18,0),""))</f>
        <v/>
      </c>
      <c r="S281" s="5" t="str">
        <f>IF($A281="","",IFERROR(VLOOKUP($A281,Sheet1!$A:$AN,19,0),""))</f>
        <v/>
      </c>
      <c r="T281" s="5" t="str">
        <f t="shared" si="24"/>
        <v/>
      </c>
      <c r="U281" s="5" t="str">
        <f>IF($A281="","",IFERROR(VLOOKUP($A281,Sheet1!$A:$AN,21,0),""))</f>
        <v/>
      </c>
      <c r="V281" s="5" t="str">
        <f>IF($A281="","",IFERROR(SUBSTITUTE(VLOOKUP($A281,Sheet1!$A:$AN,22,0),"族",""),""))</f>
        <v/>
      </c>
      <c r="W281" s="5" t="str">
        <f>IF($A281="","",IFERROR(VLOOKUP($A281,Sheet1!$A:$AN,23,0),""))</f>
        <v/>
      </c>
      <c r="X281" s="5" t="str">
        <f>IF($A281="","",IFERROR(VLOOKUP($A281,Sheet1!$A:$AN,24,0),""))</f>
        <v/>
      </c>
      <c r="Y281" s="5" t="str">
        <f>IF($A281="","",IFERROR(VLOOKUP($A281,Sheet1!$A:$AN,25,0),""))</f>
        <v/>
      </c>
      <c r="AK281" s="5" t="str">
        <f>IF($A281="","",IFERROR(VLOOKUP($A281,Sheet1!$A:$AN,37,0),""))</f>
        <v/>
      </c>
      <c r="AL281" s="13" t="str">
        <f>IF($A281="","",IFERROR(VLOOKUP($A281,Sheet1!$A:$AN,38,0),""))</f>
        <v/>
      </c>
      <c r="AM281" s="13" t="str">
        <f>IF($A281="","",IFERROR(VLOOKUP($A281,Sheet1!$A:$AN,39,0),""))</f>
        <v/>
      </c>
      <c r="AN281" s="13" t="str">
        <f>IF($A281="","",IFERROR(VLOOKUP($A281,Sheet1!$A:$AN,40,0),""))</f>
        <v/>
      </c>
    </row>
    <row r="282" customHeight="1" spans="1:40">
      <c r="A282" s="5" t="str">
        <f>IF(Sheet1!$A282="","",Sheet1!$A282)</f>
        <v/>
      </c>
      <c r="B282" s="5" t="str">
        <f t="shared" si="20"/>
        <v/>
      </c>
      <c r="C282" s="5" t="str">
        <f>IF($A282="","",IFERROR(VLOOKUP($A282,Sheet1!$A:$AN,3,0),""))</f>
        <v/>
      </c>
      <c r="D282" s="5" t="str">
        <f t="shared" si="21"/>
        <v/>
      </c>
      <c r="I282" s="5" t="str">
        <f t="shared" si="22"/>
        <v/>
      </c>
      <c r="M282" s="5" t="str">
        <f t="shared" si="23"/>
        <v/>
      </c>
      <c r="R282" s="5" t="str">
        <f>IF($A282="","",IFERROR(VLOOKUP($A282,Sheet1!A:AN,18,0),""))</f>
        <v/>
      </c>
      <c r="S282" s="5" t="str">
        <f>IF($A282="","",IFERROR(VLOOKUP($A282,Sheet1!$A:$AN,19,0),""))</f>
        <v/>
      </c>
      <c r="T282" s="5" t="str">
        <f t="shared" si="24"/>
        <v/>
      </c>
      <c r="U282" s="5" t="str">
        <f>IF($A282="","",IFERROR(VLOOKUP($A282,Sheet1!$A:$AN,21,0),""))</f>
        <v/>
      </c>
      <c r="V282" s="5" t="str">
        <f>IF($A282="","",IFERROR(SUBSTITUTE(VLOOKUP($A282,Sheet1!$A:$AN,22,0),"族",""),""))</f>
        <v/>
      </c>
      <c r="W282" s="5" t="str">
        <f>IF($A282="","",IFERROR(VLOOKUP($A282,Sheet1!$A:$AN,23,0),""))</f>
        <v/>
      </c>
      <c r="X282" s="5" t="str">
        <f>IF($A282="","",IFERROR(VLOOKUP($A282,Sheet1!$A:$AN,24,0),""))</f>
        <v/>
      </c>
      <c r="Y282" s="5" t="str">
        <f>IF($A282="","",IFERROR(VLOOKUP($A282,Sheet1!$A:$AN,25,0),""))</f>
        <v/>
      </c>
      <c r="AK282" s="5" t="str">
        <f>IF($A282="","",IFERROR(VLOOKUP($A282,Sheet1!$A:$AN,37,0),""))</f>
        <v/>
      </c>
      <c r="AL282" s="13" t="str">
        <f>IF($A282="","",IFERROR(VLOOKUP($A282,Sheet1!$A:$AN,38,0),""))</f>
        <v/>
      </c>
      <c r="AM282" s="13" t="str">
        <f>IF($A282="","",IFERROR(VLOOKUP($A282,Sheet1!$A:$AN,39,0),""))</f>
        <v/>
      </c>
      <c r="AN282" s="13" t="str">
        <f>IF($A282="","",IFERROR(VLOOKUP($A282,Sheet1!$A:$AN,40,0),""))</f>
        <v/>
      </c>
    </row>
    <row r="283" customHeight="1" spans="1:40">
      <c r="A283" s="5" t="str">
        <f>IF(Sheet1!$A283="","",Sheet1!$A283)</f>
        <v/>
      </c>
      <c r="B283" s="5" t="str">
        <f t="shared" si="20"/>
        <v/>
      </c>
      <c r="C283" s="5" t="str">
        <f>IF($A283="","",IFERROR(VLOOKUP($A283,Sheet1!$A:$AN,3,0),""))</f>
        <v/>
      </c>
      <c r="D283" s="5" t="str">
        <f t="shared" si="21"/>
        <v/>
      </c>
      <c r="I283" s="5" t="str">
        <f t="shared" si="22"/>
        <v/>
      </c>
      <c r="M283" s="5" t="str">
        <f t="shared" si="23"/>
        <v/>
      </c>
      <c r="R283" s="5" t="str">
        <f>IF($A283="","",IFERROR(VLOOKUP($A283,Sheet1!A:AN,18,0),""))</f>
        <v/>
      </c>
      <c r="S283" s="5" t="str">
        <f>IF($A283="","",IFERROR(VLOOKUP($A283,Sheet1!$A:$AN,19,0),""))</f>
        <v/>
      </c>
      <c r="T283" s="5" t="str">
        <f t="shared" si="24"/>
        <v/>
      </c>
      <c r="U283" s="5" t="str">
        <f>IF($A283="","",IFERROR(VLOOKUP($A283,Sheet1!$A:$AN,21,0),""))</f>
        <v/>
      </c>
      <c r="V283" s="5" t="str">
        <f>IF($A283="","",IFERROR(SUBSTITUTE(VLOOKUP($A283,Sheet1!$A:$AN,22,0),"族",""),""))</f>
        <v/>
      </c>
      <c r="W283" s="5" t="str">
        <f>IF($A283="","",IFERROR(VLOOKUP($A283,Sheet1!$A:$AN,23,0),""))</f>
        <v/>
      </c>
      <c r="X283" s="5" t="str">
        <f>IF($A283="","",IFERROR(VLOOKUP($A283,Sheet1!$A:$AN,24,0),""))</f>
        <v/>
      </c>
      <c r="Y283" s="5" t="str">
        <f>IF($A283="","",IFERROR(VLOOKUP($A283,Sheet1!$A:$AN,25,0),""))</f>
        <v/>
      </c>
      <c r="AK283" s="5" t="str">
        <f>IF($A283="","",IFERROR(VLOOKUP($A283,Sheet1!$A:$AN,37,0),""))</f>
        <v/>
      </c>
      <c r="AL283" s="13" t="str">
        <f>IF($A283="","",IFERROR(VLOOKUP($A283,Sheet1!$A:$AN,38,0),""))</f>
        <v/>
      </c>
      <c r="AM283" s="13" t="str">
        <f>IF($A283="","",IFERROR(VLOOKUP($A283,Sheet1!$A:$AN,39,0),""))</f>
        <v/>
      </c>
      <c r="AN283" s="13" t="str">
        <f>IF($A283="","",IFERROR(VLOOKUP($A283,Sheet1!$A:$AN,40,0),""))</f>
        <v/>
      </c>
    </row>
    <row r="284" customHeight="1" spans="1:40">
      <c r="A284" s="5" t="str">
        <f>IF(Sheet1!$A284="","",Sheet1!$A284)</f>
        <v/>
      </c>
      <c r="B284" s="5" t="str">
        <f t="shared" si="20"/>
        <v/>
      </c>
      <c r="C284" s="5" t="str">
        <f>IF($A284="","",IFERROR(VLOOKUP($A284,Sheet1!$A:$AN,3,0),""))</f>
        <v/>
      </c>
      <c r="D284" s="5" t="str">
        <f t="shared" si="21"/>
        <v/>
      </c>
      <c r="I284" s="5" t="str">
        <f t="shared" si="22"/>
        <v/>
      </c>
      <c r="M284" s="5" t="str">
        <f t="shared" si="23"/>
        <v/>
      </c>
      <c r="R284" s="5" t="str">
        <f>IF($A284="","",IFERROR(VLOOKUP($A284,Sheet1!A:AN,18,0),""))</f>
        <v/>
      </c>
      <c r="S284" s="5" t="str">
        <f>IF($A284="","",IFERROR(VLOOKUP($A284,Sheet1!$A:$AN,19,0),""))</f>
        <v/>
      </c>
      <c r="T284" s="5" t="str">
        <f t="shared" si="24"/>
        <v/>
      </c>
      <c r="U284" s="5" t="str">
        <f>IF($A284="","",IFERROR(VLOOKUP($A284,Sheet1!$A:$AN,21,0),""))</f>
        <v/>
      </c>
      <c r="V284" s="5" t="str">
        <f>IF($A284="","",IFERROR(SUBSTITUTE(VLOOKUP($A284,Sheet1!$A:$AN,22,0),"族",""),""))</f>
        <v/>
      </c>
      <c r="W284" s="5" t="str">
        <f>IF($A284="","",IFERROR(VLOOKUP($A284,Sheet1!$A:$AN,23,0),""))</f>
        <v/>
      </c>
      <c r="X284" s="5" t="str">
        <f>IF($A284="","",IFERROR(VLOOKUP($A284,Sheet1!$A:$AN,24,0),""))</f>
        <v/>
      </c>
      <c r="Y284" s="5" t="str">
        <f>IF($A284="","",IFERROR(VLOOKUP($A284,Sheet1!$A:$AN,25,0),""))</f>
        <v/>
      </c>
      <c r="AK284" s="5" t="str">
        <f>IF($A284="","",IFERROR(VLOOKUP($A284,Sheet1!$A:$AN,37,0),""))</f>
        <v/>
      </c>
      <c r="AL284" s="13" t="str">
        <f>IF($A284="","",IFERROR(VLOOKUP($A284,Sheet1!$A:$AN,38,0),""))</f>
        <v/>
      </c>
      <c r="AM284" s="13" t="str">
        <f>IF($A284="","",IFERROR(VLOOKUP($A284,Sheet1!$A:$AN,39,0),""))</f>
        <v/>
      </c>
      <c r="AN284" s="13" t="str">
        <f>IF($A284="","",IFERROR(VLOOKUP($A284,Sheet1!$A:$AN,40,0),""))</f>
        <v/>
      </c>
    </row>
    <row r="285" customHeight="1" spans="1:40">
      <c r="A285" s="5" t="str">
        <f>IF(Sheet1!$A285="","",Sheet1!$A285)</f>
        <v/>
      </c>
      <c r="B285" s="5" t="str">
        <f t="shared" si="20"/>
        <v/>
      </c>
      <c r="C285" s="5" t="str">
        <f>IF($A285="","",IFERROR(VLOOKUP($A285,Sheet1!$A:$AN,3,0),""))</f>
        <v/>
      </c>
      <c r="D285" s="5" t="str">
        <f t="shared" si="21"/>
        <v/>
      </c>
      <c r="I285" s="5" t="str">
        <f t="shared" si="22"/>
        <v/>
      </c>
      <c r="M285" s="5" t="str">
        <f t="shared" si="23"/>
        <v/>
      </c>
      <c r="R285" s="5" t="str">
        <f>IF($A285="","",IFERROR(VLOOKUP($A285,Sheet1!A:AN,18,0),""))</f>
        <v/>
      </c>
      <c r="S285" s="5" t="str">
        <f>IF($A285="","",IFERROR(VLOOKUP($A285,Sheet1!$A:$AN,19,0),""))</f>
        <v/>
      </c>
      <c r="T285" s="5" t="str">
        <f t="shared" si="24"/>
        <v/>
      </c>
      <c r="U285" s="5" t="str">
        <f>IF($A285="","",IFERROR(VLOOKUP($A285,Sheet1!$A:$AN,21,0),""))</f>
        <v/>
      </c>
      <c r="V285" s="5" t="str">
        <f>IF($A285="","",IFERROR(SUBSTITUTE(VLOOKUP($A285,Sheet1!$A:$AN,22,0),"族",""),""))</f>
        <v/>
      </c>
      <c r="W285" s="5" t="str">
        <f>IF($A285="","",IFERROR(VLOOKUP($A285,Sheet1!$A:$AN,23,0),""))</f>
        <v/>
      </c>
      <c r="X285" s="5" t="str">
        <f>IF($A285="","",IFERROR(VLOOKUP($A285,Sheet1!$A:$AN,24,0),""))</f>
        <v/>
      </c>
      <c r="Y285" s="5" t="str">
        <f>IF($A285="","",IFERROR(VLOOKUP($A285,Sheet1!$A:$AN,25,0),""))</f>
        <v/>
      </c>
      <c r="AK285" s="5" t="str">
        <f>IF($A285="","",IFERROR(VLOOKUP($A285,Sheet1!$A:$AN,37,0),""))</f>
        <v/>
      </c>
      <c r="AL285" s="13" t="str">
        <f>IF($A285="","",IFERROR(VLOOKUP($A285,Sheet1!$A:$AN,38,0),""))</f>
        <v/>
      </c>
      <c r="AM285" s="13" t="str">
        <f>IF($A285="","",IFERROR(VLOOKUP($A285,Sheet1!$A:$AN,39,0),""))</f>
        <v/>
      </c>
      <c r="AN285" s="13" t="str">
        <f>IF($A285="","",IFERROR(VLOOKUP($A285,Sheet1!$A:$AN,40,0),""))</f>
        <v/>
      </c>
    </row>
    <row r="286" customHeight="1" spans="1:40">
      <c r="A286" s="5" t="str">
        <f>IF(Sheet1!$A286="","",Sheet1!$A286)</f>
        <v/>
      </c>
      <c r="B286" s="5" t="str">
        <f t="shared" si="20"/>
        <v/>
      </c>
      <c r="C286" s="5" t="str">
        <f>IF($A286="","",IFERROR(VLOOKUP($A286,Sheet1!$A:$AN,3,0),""))</f>
        <v/>
      </c>
      <c r="D286" s="5" t="str">
        <f t="shared" si="21"/>
        <v/>
      </c>
      <c r="I286" s="5" t="str">
        <f t="shared" si="22"/>
        <v/>
      </c>
      <c r="M286" s="5" t="str">
        <f t="shared" si="23"/>
        <v/>
      </c>
      <c r="R286" s="5" t="str">
        <f>IF($A286="","",IFERROR(VLOOKUP($A286,Sheet1!A:AN,18,0),""))</f>
        <v/>
      </c>
      <c r="S286" s="5" t="str">
        <f>IF($A286="","",IFERROR(VLOOKUP($A286,Sheet1!$A:$AN,19,0),""))</f>
        <v/>
      </c>
      <c r="T286" s="5" t="str">
        <f t="shared" si="24"/>
        <v/>
      </c>
      <c r="U286" s="5" t="str">
        <f>IF($A286="","",IFERROR(VLOOKUP($A286,Sheet1!$A:$AN,21,0),""))</f>
        <v/>
      </c>
      <c r="V286" s="5" t="str">
        <f>IF($A286="","",IFERROR(SUBSTITUTE(VLOOKUP($A286,Sheet1!$A:$AN,22,0),"族",""),""))</f>
        <v/>
      </c>
      <c r="W286" s="5" t="str">
        <f>IF($A286="","",IFERROR(VLOOKUP($A286,Sheet1!$A:$AN,23,0),""))</f>
        <v/>
      </c>
      <c r="X286" s="5" t="str">
        <f>IF($A286="","",IFERROR(VLOOKUP($A286,Sheet1!$A:$AN,24,0),""))</f>
        <v/>
      </c>
      <c r="Y286" s="5" t="str">
        <f>IF($A286="","",IFERROR(VLOOKUP($A286,Sheet1!$A:$AN,25,0),""))</f>
        <v/>
      </c>
      <c r="AK286" s="5" t="str">
        <f>IF($A286="","",IFERROR(VLOOKUP($A286,Sheet1!$A:$AN,37,0),""))</f>
        <v/>
      </c>
      <c r="AL286" s="13" t="str">
        <f>IF($A286="","",IFERROR(VLOOKUP($A286,Sheet1!$A:$AN,38,0),""))</f>
        <v/>
      </c>
      <c r="AM286" s="13" t="str">
        <f>IF($A286="","",IFERROR(VLOOKUP($A286,Sheet1!$A:$AN,39,0),""))</f>
        <v/>
      </c>
      <c r="AN286" s="13" t="str">
        <f>IF($A286="","",IFERROR(VLOOKUP($A286,Sheet1!$A:$AN,40,0),""))</f>
        <v/>
      </c>
    </row>
    <row r="287" customHeight="1" spans="1:40">
      <c r="A287" s="5" t="str">
        <f>IF(Sheet1!$A287="","",Sheet1!$A287)</f>
        <v/>
      </c>
      <c r="B287" s="5" t="str">
        <f t="shared" si="20"/>
        <v/>
      </c>
      <c r="C287" s="5" t="str">
        <f>IF($A287="","",IFERROR(VLOOKUP($A287,Sheet1!$A:$AN,3,0),""))</f>
        <v/>
      </c>
      <c r="D287" s="5" t="str">
        <f t="shared" si="21"/>
        <v/>
      </c>
      <c r="I287" s="5" t="str">
        <f t="shared" si="22"/>
        <v/>
      </c>
      <c r="M287" s="5" t="str">
        <f t="shared" si="23"/>
        <v/>
      </c>
      <c r="R287" s="5" t="str">
        <f>IF($A287="","",IFERROR(VLOOKUP($A287,Sheet1!A:AN,18,0),""))</f>
        <v/>
      </c>
      <c r="S287" s="5" t="str">
        <f>IF($A287="","",IFERROR(VLOOKUP($A287,Sheet1!$A:$AN,19,0),""))</f>
        <v/>
      </c>
      <c r="T287" s="5" t="str">
        <f t="shared" si="24"/>
        <v/>
      </c>
      <c r="U287" s="5" t="str">
        <f>IF($A287="","",IFERROR(VLOOKUP($A287,Sheet1!$A:$AN,21,0),""))</f>
        <v/>
      </c>
      <c r="V287" s="5" t="str">
        <f>IF($A287="","",IFERROR(SUBSTITUTE(VLOOKUP($A287,Sheet1!$A:$AN,22,0),"族",""),""))</f>
        <v/>
      </c>
      <c r="W287" s="5" t="str">
        <f>IF($A287="","",IFERROR(VLOOKUP($A287,Sheet1!$A:$AN,23,0),""))</f>
        <v/>
      </c>
      <c r="X287" s="5" t="str">
        <f>IF($A287="","",IFERROR(VLOOKUP($A287,Sheet1!$A:$AN,24,0),""))</f>
        <v/>
      </c>
      <c r="Y287" s="5" t="str">
        <f>IF($A287="","",IFERROR(VLOOKUP($A287,Sheet1!$A:$AN,25,0),""))</f>
        <v/>
      </c>
      <c r="AK287" s="5" t="str">
        <f>IF($A287="","",IFERROR(VLOOKUP($A287,Sheet1!$A:$AN,37,0),""))</f>
        <v/>
      </c>
      <c r="AL287" s="13" t="str">
        <f>IF($A287="","",IFERROR(VLOOKUP($A287,Sheet1!$A:$AN,38,0),""))</f>
        <v/>
      </c>
      <c r="AM287" s="13" t="str">
        <f>IF($A287="","",IFERROR(VLOOKUP($A287,Sheet1!$A:$AN,39,0),""))</f>
        <v/>
      </c>
      <c r="AN287" s="13" t="str">
        <f>IF($A287="","",IFERROR(VLOOKUP($A287,Sheet1!$A:$AN,40,0),""))</f>
        <v/>
      </c>
    </row>
    <row r="288" customHeight="1" spans="1:40">
      <c r="A288" s="5" t="str">
        <f>IF(Sheet1!$A288="","",Sheet1!$A288)</f>
        <v/>
      </c>
      <c r="B288" s="5" t="str">
        <f t="shared" si="20"/>
        <v/>
      </c>
      <c r="C288" s="5" t="str">
        <f>IF($A288="","",IFERROR(VLOOKUP($A288,Sheet1!$A:$AN,3,0),""))</f>
        <v/>
      </c>
      <c r="D288" s="5" t="str">
        <f t="shared" si="21"/>
        <v/>
      </c>
      <c r="I288" s="5" t="str">
        <f t="shared" si="22"/>
        <v/>
      </c>
      <c r="M288" s="5" t="str">
        <f t="shared" si="23"/>
        <v/>
      </c>
      <c r="R288" s="5" t="str">
        <f>IF($A288="","",IFERROR(VLOOKUP($A288,Sheet1!A:AN,18,0),""))</f>
        <v/>
      </c>
      <c r="S288" s="5" t="str">
        <f>IF($A288="","",IFERROR(VLOOKUP($A288,Sheet1!$A:$AN,19,0),""))</f>
        <v/>
      </c>
      <c r="T288" s="5" t="str">
        <f t="shared" si="24"/>
        <v/>
      </c>
      <c r="U288" s="5" t="str">
        <f>IF($A288="","",IFERROR(VLOOKUP($A288,Sheet1!$A:$AN,21,0),""))</f>
        <v/>
      </c>
      <c r="V288" s="5" t="str">
        <f>IF($A288="","",IFERROR(SUBSTITUTE(VLOOKUP($A288,Sheet1!$A:$AN,22,0),"族",""),""))</f>
        <v/>
      </c>
      <c r="W288" s="5" t="str">
        <f>IF($A288="","",IFERROR(VLOOKUP($A288,Sheet1!$A:$AN,23,0),""))</f>
        <v/>
      </c>
      <c r="X288" s="5" t="str">
        <f>IF($A288="","",IFERROR(VLOOKUP($A288,Sheet1!$A:$AN,24,0),""))</f>
        <v/>
      </c>
      <c r="Y288" s="5" t="str">
        <f>IF($A288="","",IFERROR(VLOOKUP($A288,Sheet1!$A:$AN,25,0),""))</f>
        <v/>
      </c>
      <c r="AK288" s="5" t="str">
        <f>IF($A288="","",IFERROR(VLOOKUP($A288,Sheet1!$A:$AN,37,0),""))</f>
        <v/>
      </c>
      <c r="AL288" s="13" t="str">
        <f>IF($A288="","",IFERROR(VLOOKUP($A288,Sheet1!$A:$AN,38,0),""))</f>
        <v/>
      </c>
      <c r="AM288" s="13" t="str">
        <f>IF($A288="","",IFERROR(VLOOKUP($A288,Sheet1!$A:$AN,39,0),""))</f>
        <v/>
      </c>
      <c r="AN288" s="13" t="str">
        <f>IF($A288="","",IFERROR(VLOOKUP($A288,Sheet1!$A:$AN,40,0),""))</f>
        <v/>
      </c>
    </row>
    <row r="289" customHeight="1" spans="1:40">
      <c r="A289" s="5" t="str">
        <f>IF(Sheet1!$A289="","",Sheet1!$A289)</f>
        <v/>
      </c>
      <c r="B289" s="5" t="str">
        <f t="shared" si="20"/>
        <v/>
      </c>
      <c r="C289" s="5" t="str">
        <f>IF($A289="","",IFERROR(VLOOKUP($A289,Sheet1!$A:$AN,3,0),""))</f>
        <v/>
      </c>
      <c r="D289" s="5" t="str">
        <f t="shared" si="21"/>
        <v/>
      </c>
      <c r="I289" s="5" t="str">
        <f t="shared" si="22"/>
        <v/>
      </c>
      <c r="M289" s="5" t="str">
        <f t="shared" si="23"/>
        <v/>
      </c>
      <c r="R289" s="5" t="str">
        <f>IF($A289="","",IFERROR(VLOOKUP($A289,Sheet1!A:AN,18,0),""))</f>
        <v/>
      </c>
      <c r="S289" s="5" t="str">
        <f>IF($A289="","",IFERROR(VLOOKUP($A289,Sheet1!$A:$AN,19,0),""))</f>
        <v/>
      </c>
      <c r="T289" s="5" t="str">
        <f t="shared" si="24"/>
        <v/>
      </c>
      <c r="U289" s="5" t="str">
        <f>IF($A289="","",IFERROR(VLOOKUP($A289,Sheet1!$A:$AN,21,0),""))</f>
        <v/>
      </c>
      <c r="V289" s="5" t="str">
        <f>IF($A289="","",IFERROR(SUBSTITUTE(VLOOKUP($A289,Sheet1!$A:$AN,22,0),"族",""),""))</f>
        <v/>
      </c>
      <c r="W289" s="5" t="str">
        <f>IF($A289="","",IFERROR(VLOOKUP($A289,Sheet1!$A:$AN,23,0),""))</f>
        <v/>
      </c>
      <c r="X289" s="5" t="str">
        <f>IF($A289="","",IFERROR(VLOOKUP($A289,Sheet1!$A:$AN,24,0),""))</f>
        <v/>
      </c>
      <c r="Y289" s="5" t="str">
        <f>IF($A289="","",IFERROR(VLOOKUP($A289,Sheet1!$A:$AN,25,0),""))</f>
        <v/>
      </c>
      <c r="AK289" s="5" t="str">
        <f>IF($A289="","",IFERROR(VLOOKUP($A289,Sheet1!$A:$AN,37,0),""))</f>
        <v/>
      </c>
      <c r="AL289" s="13" t="str">
        <f>IF($A289="","",IFERROR(VLOOKUP($A289,Sheet1!$A:$AN,38,0),""))</f>
        <v/>
      </c>
      <c r="AM289" s="13" t="str">
        <f>IF($A289="","",IFERROR(VLOOKUP($A289,Sheet1!$A:$AN,39,0),""))</f>
        <v/>
      </c>
      <c r="AN289" s="13" t="str">
        <f>IF($A289="","",IFERROR(VLOOKUP($A289,Sheet1!$A:$AN,40,0),""))</f>
        <v/>
      </c>
    </row>
    <row r="290" customHeight="1" spans="1:40">
      <c r="A290" s="5" t="str">
        <f>IF(Sheet1!$A290="","",Sheet1!$A290)</f>
        <v/>
      </c>
      <c r="B290" s="5" t="str">
        <f t="shared" si="20"/>
        <v/>
      </c>
      <c r="C290" s="5" t="str">
        <f>IF($A290="","",IFERROR(VLOOKUP($A290,Sheet1!$A:$AN,3,0),""))</f>
        <v/>
      </c>
      <c r="D290" s="5" t="str">
        <f t="shared" si="21"/>
        <v/>
      </c>
      <c r="I290" s="5" t="str">
        <f t="shared" si="22"/>
        <v/>
      </c>
      <c r="M290" s="5" t="str">
        <f t="shared" si="23"/>
        <v/>
      </c>
      <c r="R290" s="5" t="str">
        <f>IF($A290="","",IFERROR(VLOOKUP($A290,Sheet1!A:AN,18,0),""))</f>
        <v/>
      </c>
      <c r="S290" s="5" t="str">
        <f>IF($A290="","",IFERROR(VLOOKUP($A290,Sheet1!$A:$AN,19,0),""))</f>
        <v/>
      </c>
      <c r="T290" s="5" t="str">
        <f t="shared" si="24"/>
        <v/>
      </c>
      <c r="U290" s="5" t="str">
        <f>IF($A290="","",IFERROR(VLOOKUP($A290,Sheet1!$A:$AN,21,0),""))</f>
        <v/>
      </c>
      <c r="V290" s="5" t="str">
        <f>IF($A290="","",IFERROR(SUBSTITUTE(VLOOKUP($A290,Sheet1!$A:$AN,22,0),"族",""),""))</f>
        <v/>
      </c>
      <c r="W290" s="5" t="str">
        <f>IF($A290="","",IFERROR(VLOOKUP($A290,Sheet1!$A:$AN,23,0),""))</f>
        <v/>
      </c>
      <c r="X290" s="5" t="str">
        <f>IF($A290="","",IFERROR(VLOOKUP($A290,Sheet1!$A:$AN,24,0),""))</f>
        <v/>
      </c>
      <c r="Y290" s="5" t="str">
        <f>IF($A290="","",IFERROR(VLOOKUP($A290,Sheet1!$A:$AN,25,0),""))</f>
        <v/>
      </c>
      <c r="AK290" s="5" t="str">
        <f>IF($A290="","",IFERROR(VLOOKUP($A290,Sheet1!$A:$AN,37,0),""))</f>
        <v/>
      </c>
      <c r="AL290" s="13" t="str">
        <f>IF($A290="","",IFERROR(VLOOKUP($A290,Sheet1!$A:$AN,38,0),""))</f>
        <v/>
      </c>
      <c r="AM290" s="13" t="str">
        <f>IF($A290="","",IFERROR(VLOOKUP($A290,Sheet1!$A:$AN,39,0),""))</f>
        <v/>
      </c>
      <c r="AN290" s="13" t="str">
        <f>IF($A290="","",IFERROR(VLOOKUP($A290,Sheet1!$A:$AN,40,0),""))</f>
        <v/>
      </c>
    </row>
    <row r="291" customHeight="1" spans="1:40">
      <c r="A291" s="5" t="str">
        <f>IF(Sheet1!$A291="","",Sheet1!$A291)</f>
        <v/>
      </c>
      <c r="B291" s="5" t="str">
        <f t="shared" si="20"/>
        <v/>
      </c>
      <c r="C291" s="5" t="str">
        <f>IF($A291="","",IFERROR(VLOOKUP($A291,Sheet1!$A:$AN,3,0),""))</f>
        <v/>
      </c>
      <c r="D291" s="5" t="str">
        <f t="shared" si="21"/>
        <v/>
      </c>
      <c r="I291" s="5" t="str">
        <f t="shared" si="22"/>
        <v/>
      </c>
      <c r="M291" s="5" t="str">
        <f t="shared" si="23"/>
        <v/>
      </c>
      <c r="R291" s="5" t="str">
        <f>IF($A291="","",IFERROR(VLOOKUP($A291,Sheet1!A:AN,18,0),""))</f>
        <v/>
      </c>
      <c r="S291" s="5" t="str">
        <f>IF($A291="","",IFERROR(VLOOKUP($A291,Sheet1!$A:$AN,19,0),""))</f>
        <v/>
      </c>
      <c r="T291" s="5" t="str">
        <f t="shared" si="24"/>
        <v/>
      </c>
      <c r="U291" s="5" t="str">
        <f>IF($A291="","",IFERROR(VLOOKUP($A291,Sheet1!$A:$AN,21,0),""))</f>
        <v/>
      </c>
      <c r="V291" s="5" t="str">
        <f>IF($A291="","",IFERROR(SUBSTITUTE(VLOOKUP($A291,Sheet1!$A:$AN,22,0),"族",""),""))</f>
        <v/>
      </c>
      <c r="W291" s="5" t="str">
        <f>IF($A291="","",IFERROR(VLOOKUP($A291,Sheet1!$A:$AN,23,0),""))</f>
        <v/>
      </c>
      <c r="X291" s="5" t="str">
        <f>IF($A291="","",IFERROR(VLOOKUP($A291,Sheet1!$A:$AN,24,0),""))</f>
        <v/>
      </c>
      <c r="Y291" s="5" t="str">
        <f>IF($A291="","",IFERROR(VLOOKUP($A291,Sheet1!$A:$AN,25,0),""))</f>
        <v/>
      </c>
      <c r="AK291" s="5" t="str">
        <f>IF($A291="","",IFERROR(VLOOKUP($A291,Sheet1!$A:$AN,37,0),""))</f>
        <v/>
      </c>
      <c r="AL291" s="13" t="str">
        <f>IF($A291="","",IFERROR(VLOOKUP($A291,Sheet1!$A:$AN,38,0),""))</f>
        <v/>
      </c>
      <c r="AM291" s="13" t="str">
        <f>IF($A291="","",IFERROR(VLOOKUP($A291,Sheet1!$A:$AN,39,0),""))</f>
        <v/>
      </c>
      <c r="AN291" s="13" t="str">
        <f>IF($A291="","",IFERROR(VLOOKUP($A291,Sheet1!$A:$AN,40,0),""))</f>
        <v/>
      </c>
    </row>
    <row r="292" customHeight="1" spans="1:40">
      <c r="A292" s="5" t="str">
        <f>IF(Sheet1!$A292="","",Sheet1!$A292)</f>
        <v/>
      </c>
      <c r="B292" s="5" t="str">
        <f t="shared" si="20"/>
        <v/>
      </c>
      <c r="C292" s="5" t="str">
        <f>IF($A292="","",IFERROR(VLOOKUP($A292,Sheet1!$A:$AN,3,0),""))</f>
        <v/>
      </c>
      <c r="D292" s="5" t="str">
        <f t="shared" si="21"/>
        <v/>
      </c>
      <c r="I292" s="5" t="str">
        <f t="shared" si="22"/>
        <v/>
      </c>
      <c r="M292" s="5" t="str">
        <f t="shared" si="23"/>
        <v/>
      </c>
      <c r="R292" s="5" t="str">
        <f>IF($A292="","",IFERROR(VLOOKUP($A292,Sheet1!A:AN,18,0),""))</f>
        <v/>
      </c>
      <c r="S292" s="5" t="str">
        <f>IF($A292="","",IFERROR(VLOOKUP($A292,Sheet1!$A:$AN,19,0),""))</f>
        <v/>
      </c>
      <c r="T292" s="5" t="str">
        <f t="shared" si="24"/>
        <v/>
      </c>
      <c r="U292" s="5" t="str">
        <f>IF($A292="","",IFERROR(VLOOKUP($A292,Sheet1!$A:$AN,21,0),""))</f>
        <v/>
      </c>
      <c r="V292" s="5" t="str">
        <f>IF($A292="","",IFERROR(SUBSTITUTE(VLOOKUP($A292,Sheet1!$A:$AN,22,0),"族",""),""))</f>
        <v/>
      </c>
      <c r="W292" s="5" t="str">
        <f>IF($A292="","",IFERROR(VLOOKUP($A292,Sheet1!$A:$AN,23,0),""))</f>
        <v/>
      </c>
      <c r="X292" s="5" t="str">
        <f>IF($A292="","",IFERROR(VLOOKUP($A292,Sheet1!$A:$AN,24,0),""))</f>
        <v/>
      </c>
      <c r="Y292" s="5" t="str">
        <f>IF($A292="","",IFERROR(VLOOKUP($A292,Sheet1!$A:$AN,25,0),""))</f>
        <v/>
      </c>
      <c r="AK292" s="5" t="str">
        <f>IF($A292="","",IFERROR(VLOOKUP($A292,Sheet1!$A:$AN,37,0),""))</f>
        <v/>
      </c>
      <c r="AL292" s="13" t="str">
        <f>IF($A292="","",IFERROR(VLOOKUP($A292,Sheet1!$A:$AN,38,0),""))</f>
        <v/>
      </c>
      <c r="AM292" s="13" t="str">
        <f>IF($A292="","",IFERROR(VLOOKUP($A292,Sheet1!$A:$AN,39,0),""))</f>
        <v/>
      </c>
      <c r="AN292" s="13" t="str">
        <f>IF($A292="","",IFERROR(VLOOKUP($A292,Sheet1!$A:$AN,40,0),""))</f>
        <v/>
      </c>
    </row>
    <row r="293" customHeight="1" spans="1:40">
      <c r="A293" s="5" t="str">
        <f>IF(Sheet1!$A293="","",Sheet1!$A293)</f>
        <v/>
      </c>
      <c r="B293" s="5" t="str">
        <f t="shared" si="20"/>
        <v/>
      </c>
      <c r="C293" s="5" t="str">
        <f>IF($A293="","",IFERROR(VLOOKUP($A293,Sheet1!$A:$AN,3,0),""))</f>
        <v/>
      </c>
      <c r="D293" s="5" t="str">
        <f t="shared" si="21"/>
        <v/>
      </c>
      <c r="I293" s="5" t="str">
        <f t="shared" si="22"/>
        <v/>
      </c>
      <c r="M293" s="5" t="str">
        <f t="shared" si="23"/>
        <v/>
      </c>
      <c r="R293" s="5" t="str">
        <f>IF($A293="","",IFERROR(VLOOKUP($A293,Sheet1!A:AN,18,0),""))</f>
        <v/>
      </c>
      <c r="S293" s="5" t="str">
        <f>IF($A293="","",IFERROR(VLOOKUP($A293,Sheet1!$A:$AN,19,0),""))</f>
        <v/>
      </c>
      <c r="T293" s="5" t="str">
        <f t="shared" si="24"/>
        <v/>
      </c>
      <c r="U293" s="5" t="str">
        <f>IF($A293="","",IFERROR(VLOOKUP($A293,Sheet1!$A:$AN,21,0),""))</f>
        <v/>
      </c>
      <c r="V293" s="5" t="str">
        <f>IF($A293="","",IFERROR(SUBSTITUTE(VLOOKUP($A293,Sheet1!$A:$AN,22,0),"族",""),""))</f>
        <v/>
      </c>
      <c r="W293" s="5" t="str">
        <f>IF($A293="","",IFERROR(VLOOKUP($A293,Sheet1!$A:$AN,23,0),""))</f>
        <v/>
      </c>
      <c r="X293" s="5" t="str">
        <f>IF($A293="","",IFERROR(VLOOKUP($A293,Sheet1!$A:$AN,24,0),""))</f>
        <v/>
      </c>
      <c r="Y293" s="5" t="str">
        <f>IF($A293="","",IFERROR(VLOOKUP($A293,Sheet1!$A:$AN,25,0),""))</f>
        <v/>
      </c>
      <c r="AK293" s="5" t="str">
        <f>IF($A293="","",IFERROR(VLOOKUP($A293,Sheet1!$A:$AN,37,0),""))</f>
        <v/>
      </c>
      <c r="AL293" s="13" t="str">
        <f>IF($A293="","",IFERROR(VLOOKUP($A293,Sheet1!$A:$AN,38,0),""))</f>
        <v/>
      </c>
      <c r="AM293" s="13" t="str">
        <f>IF($A293="","",IFERROR(VLOOKUP($A293,Sheet1!$A:$AN,39,0),""))</f>
        <v/>
      </c>
      <c r="AN293" s="13" t="str">
        <f>IF($A293="","",IFERROR(VLOOKUP($A293,Sheet1!$A:$AN,40,0),""))</f>
        <v/>
      </c>
    </row>
    <row r="294" customHeight="1" spans="1:40">
      <c r="A294" s="5" t="str">
        <f>IF(Sheet1!$A294="","",Sheet1!$A294)</f>
        <v/>
      </c>
      <c r="B294" s="5" t="str">
        <f t="shared" si="20"/>
        <v/>
      </c>
      <c r="C294" s="5" t="str">
        <f>IF($A294="","",IFERROR(VLOOKUP($A294,Sheet1!$A:$AN,3,0),""))</f>
        <v/>
      </c>
      <c r="D294" s="5" t="str">
        <f t="shared" si="21"/>
        <v/>
      </c>
      <c r="I294" s="5" t="str">
        <f t="shared" si="22"/>
        <v/>
      </c>
      <c r="M294" s="5" t="str">
        <f t="shared" si="23"/>
        <v/>
      </c>
      <c r="R294" s="5" t="str">
        <f>IF($A294="","",IFERROR(VLOOKUP($A294,Sheet1!A:AN,18,0),""))</f>
        <v/>
      </c>
      <c r="S294" s="5" t="str">
        <f>IF($A294="","",IFERROR(VLOOKUP($A294,Sheet1!$A:$AN,19,0),""))</f>
        <v/>
      </c>
      <c r="T294" s="5" t="str">
        <f t="shared" si="24"/>
        <v/>
      </c>
      <c r="U294" s="5" t="str">
        <f>IF($A294="","",IFERROR(VLOOKUP($A294,Sheet1!$A:$AN,21,0),""))</f>
        <v/>
      </c>
      <c r="V294" s="5" t="str">
        <f>IF($A294="","",IFERROR(SUBSTITUTE(VLOOKUP($A294,Sheet1!$A:$AN,22,0),"族",""),""))</f>
        <v/>
      </c>
      <c r="W294" s="5" t="str">
        <f>IF($A294="","",IFERROR(VLOOKUP($A294,Sheet1!$A:$AN,23,0),""))</f>
        <v/>
      </c>
      <c r="X294" s="5" t="str">
        <f>IF($A294="","",IFERROR(VLOOKUP($A294,Sheet1!$A:$AN,24,0),""))</f>
        <v/>
      </c>
      <c r="Y294" s="5" t="str">
        <f>IF($A294="","",IFERROR(VLOOKUP($A294,Sheet1!$A:$AN,25,0),""))</f>
        <v/>
      </c>
      <c r="AK294" s="5" t="str">
        <f>IF($A294="","",IFERROR(VLOOKUP($A294,Sheet1!$A:$AN,37,0),""))</f>
        <v/>
      </c>
      <c r="AL294" s="13" t="str">
        <f>IF($A294="","",IFERROR(VLOOKUP($A294,Sheet1!$A:$AN,38,0),""))</f>
        <v/>
      </c>
      <c r="AM294" s="13" t="str">
        <f>IF($A294="","",IFERROR(VLOOKUP($A294,Sheet1!$A:$AN,39,0),""))</f>
        <v/>
      </c>
      <c r="AN294" s="13" t="str">
        <f>IF($A294="","",IFERROR(VLOOKUP($A294,Sheet1!$A:$AN,40,0),""))</f>
        <v/>
      </c>
    </row>
    <row r="295" customHeight="1" spans="1:40">
      <c r="A295" s="5" t="str">
        <f>IF(Sheet1!$A295="","",Sheet1!$A295)</f>
        <v/>
      </c>
      <c r="B295" s="5" t="str">
        <f t="shared" si="20"/>
        <v/>
      </c>
      <c r="C295" s="5" t="str">
        <f>IF($A295="","",IFERROR(VLOOKUP($A295,Sheet1!$A:$AN,3,0),""))</f>
        <v/>
      </c>
      <c r="D295" s="5" t="str">
        <f t="shared" si="21"/>
        <v/>
      </c>
      <c r="I295" s="5" t="str">
        <f t="shared" si="22"/>
        <v/>
      </c>
      <c r="M295" s="5" t="str">
        <f t="shared" si="23"/>
        <v/>
      </c>
      <c r="R295" s="5" t="str">
        <f>IF($A295="","",IFERROR(VLOOKUP($A295,Sheet1!A:AN,18,0),""))</f>
        <v/>
      </c>
      <c r="S295" s="5" t="str">
        <f>IF($A295="","",IFERROR(VLOOKUP($A295,Sheet1!$A:$AN,19,0),""))</f>
        <v/>
      </c>
      <c r="T295" s="5" t="str">
        <f t="shared" si="24"/>
        <v/>
      </c>
      <c r="U295" s="5" t="str">
        <f>IF($A295="","",IFERROR(VLOOKUP($A295,Sheet1!$A:$AN,21,0),""))</f>
        <v/>
      </c>
      <c r="V295" s="5" t="str">
        <f>IF($A295="","",IFERROR(SUBSTITUTE(VLOOKUP($A295,Sheet1!$A:$AN,22,0),"族",""),""))</f>
        <v/>
      </c>
      <c r="W295" s="5" t="str">
        <f>IF($A295="","",IFERROR(VLOOKUP($A295,Sheet1!$A:$AN,23,0),""))</f>
        <v/>
      </c>
      <c r="X295" s="5" t="str">
        <f>IF($A295="","",IFERROR(VLOOKUP($A295,Sheet1!$A:$AN,24,0),""))</f>
        <v/>
      </c>
      <c r="Y295" s="5" t="str">
        <f>IF($A295="","",IFERROR(VLOOKUP($A295,Sheet1!$A:$AN,25,0),""))</f>
        <v/>
      </c>
      <c r="AK295" s="5" t="str">
        <f>IF($A295="","",IFERROR(VLOOKUP($A295,Sheet1!$A:$AN,37,0),""))</f>
        <v/>
      </c>
      <c r="AL295" s="13" t="str">
        <f>IF($A295="","",IFERROR(VLOOKUP($A295,Sheet1!$A:$AN,38,0),""))</f>
        <v/>
      </c>
      <c r="AM295" s="13" t="str">
        <f>IF($A295="","",IFERROR(VLOOKUP($A295,Sheet1!$A:$AN,39,0),""))</f>
        <v/>
      </c>
      <c r="AN295" s="13" t="str">
        <f>IF($A295="","",IFERROR(VLOOKUP($A295,Sheet1!$A:$AN,40,0),""))</f>
        <v/>
      </c>
    </row>
    <row r="296" customHeight="1" spans="1:40">
      <c r="A296" s="5" t="str">
        <f>IF(Sheet1!$A296="","",Sheet1!$A296)</f>
        <v/>
      </c>
      <c r="B296" s="5" t="str">
        <f t="shared" si="20"/>
        <v/>
      </c>
      <c r="C296" s="5" t="str">
        <f>IF($A296="","",IFERROR(VLOOKUP($A296,Sheet1!$A:$AN,3,0),""))</f>
        <v/>
      </c>
      <c r="D296" s="5" t="str">
        <f t="shared" si="21"/>
        <v/>
      </c>
      <c r="I296" s="5" t="str">
        <f t="shared" si="22"/>
        <v/>
      </c>
      <c r="M296" s="5" t="str">
        <f t="shared" si="23"/>
        <v/>
      </c>
      <c r="R296" s="5" t="str">
        <f>IF($A296="","",IFERROR(VLOOKUP($A296,Sheet1!A:AN,18,0),""))</f>
        <v/>
      </c>
      <c r="S296" s="5" t="str">
        <f>IF($A296="","",IFERROR(VLOOKUP($A296,Sheet1!$A:$AN,19,0),""))</f>
        <v/>
      </c>
      <c r="T296" s="5" t="str">
        <f t="shared" si="24"/>
        <v/>
      </c>
      <c r="U296" s="5" t="str">
        <f>IF($A296="","",IFERROR(VLOOKUP($A296,Sheet1!$A:$AN,21,0),""))</f>
        <v/>
      </c>
      <c r="V296" s="5" t="str">
        <f>IF($A296="","",IFERROR(SUBSTITUTE(VLOOKUP($A296,Sheet1!$A:$AN,22,0),"族",""),""))</f>
        <v/>
      </c>
      <c r="W296" s="5" t="str">
        <f>IF($A296="","",IFERROR(VLOOKUP($A296,Sheet1!$A:$AN,23,0),""))</f>
        <v/>
      </c>
      <c r="X296" s="5" t="str">
        <f>IF($A296="","",IFERROR(VLOOKUP($A296,Sheet1!$A:$AN,24,0),""))</f>
        <v/>
      </c>
      <c r="Y296" s="5" t="str">
        <f>IF($A296="","",IFERROR(VLOOKUP($A296,Sheet1!$A:$AN,25,0),""))</f>
        <v/>
      </c>
      <c r="AK296" s="5" t="str">
        <f>IF($A296="","",IFERROR(VLOOKUP($A296,Sheet1!$A:$AN,37,0),""))</f>
        <v/>
      </c>
      <c r="AL296" s="13" t="str">
        <f>IF($A296="","",IFERROR(VLOOKUP($A296,Sheet1!$A:$AN,38,0),""))</f>
        <v/>
      </c>
      <c r="AM296" s="13" t="str">
        <f>IF($A296="","",IFERROR(VLOOKUP($A296,Sheet1!$A:$AN,39,0),""))</f>
        <v/>
      </c>
      <c r="AN296" s="13" t="str">
        <f>IF($A296="","",IFERROR(VLOOKUP($A296,Sheet1!$A:$AN,40,0),""))</f>
        <v/>
      </c>
    </row>
    <row r="297" customHeight="1" spans="1:40">
      <c r="A297" s="5" t="str">
        <f>IF(Sheet1!$A297="","",Sheet1!$A297)</f>
        <v/>
      </c>
      <c r="B297" s="5" t="str">
        <f t="shared" si="20"/>
        <v/>
      </c>
      <c r="C297" s="5" t="str">
        <f>IF($A297="","",IFERROR(VLOOKUP($A297,Sheet1!$A:$AN,3,0),""))</f>
        <v/>
      </c>
      <c r="D297" s="5" t="str">
        <f t="shared" si="21"/>
        <v/>
      </c>
      <c r="I297" s="5" t="str">
        <f t="shared" si="22"/>
        <v/>
      </c>
      <c r="M297" s="5" t="str">
        <f t="shared" si="23"/>
        <v/>
      </c>
      <c r="R297" s="5" t="str">
        <f>IF($A297="","",IFERROR(VLOOKUP($A297,Sheet1!A:AN,18,0),""))</f>
        <v/>
      </c>
      <c r="S297" s="5" t="str">
        <f>IF($A297="","",IFERROR(VLOOKUP($A297,Sheet1!$A:$AN,19,0),""))</f>
        <v/>
      </c>
      <c r="T297" s="5" t="str">
        <f t="shared" si="24"/>
        <v/>
      </c>
      <c r="U297" s="5" t="str">
        <f>IF($A297="","",IFERROR(VLOOKUP($A297,Sheet1!$A:$AN,21,0),""))</f>
        <v/>
      </c>
      <c r="V297" s="5" t="str">
        <f>IF($A297="","",IFERROR(SUBSTITUTE(VLOOKUP($A297,Sheet1!$A:$AN,22,0),"族",""),""))</f>
        <v/>
      </c>
      <c r="W297" s="5" t="str">
        <f>IF($A297="","",IFERROR(VLOOKUP($A297,Sheet1!$A:$AN,23,0),""))</f>
        <v/>
      </c>
      <c r="X297" s="5" t="str">
        <f>IF($A297="","",IFERROR(VLOOKUP($A297,Sheet1!$A:$AN,24,0),""))</f>
        <v/>
      </c>
      <c r="Y297" s="5" t="str">
        <f>IF($A297="","",IFERROR(VLOOKUP($A297,Sheet1!$A:$AN,25,0),""))</f>
        <v/>
      </c>
      <c r="AK297" s="5" t="str">
        <f>IF($A297="","",IFERROR(VLOOKUP($A297,Sheet1!$A:$AN,37,0),""))</f>
        <v/>
      </c>
      <c r="AL297" s="13" t="str">
        <f>IF($A297="","",IFERROR(VLOOKUP($A297,Sheet1!$A:$AN,38,0),""))</f>
        <v/>
      </c>
      <c r="AM297" s="13" t="str">
        <f>IF($A297="","",IFERROR(VLOOKUP($A297,Sheet1!$A:$AN,39,0),""))</f>
        <v/>
      </c>
      <c r="AN297" s="13" t="str">
        <f>IF($A297="","",IFERROR(VLOOKUP($A297,Sheet1!$A:$AN,40,0),""))</f>
        <v/>
      </c>
    </row>
    <row r="298" customHeight="1" spans="1:40">
      <c r="A298" s="5" t="str">
        <f>IF(Sheet1!$A298="","",Sheet1!$A298)</f>
        <v/>
      </c>
      <c r="B298" s="5" t="str">
        <f t="shared" si="20"/>
        <v/>
      </c>
      <c r="C298" s="5" t="str">
        <f>IF($A298="","",IFERROR(VLOOKUP($A298,Sheet1!$A:$AN,3,0),""))</f>
        <v/>
      </c>
      <c r="D298" s="5" t="str">
        <f t="shared" si="21"/>
        <v/>
      </c>
      <c r="I298" s="5" t="str">
        <f t="shared" si="22"/>
        <v/>
      </c>
      <c r="M298" s="5" t="str">
        <f t="shared" si="23"/>
        <v/>
      </c>
      <c r="R298" s="5" t="str">
        <f>IF($A298="","",IFERROR(VLOOKUP($A298,Sheet1!A:AN,18,0),""))</f>
        <v/>
      </c>
      <c r="S298" s="5" t="str">
        <f>IF($A298="","",IFERROR(VLOOKUP($A298,Sheet1!$A:$AN,19,0),""))</f>
        <v/>
      </c>
      <c r="T298" s="5" t="str">
        <f t="shared" si="24"/>
        <v/>
      </c>
      <c r="U298" s="5" t="str">
        <f>IF($A298="","",IFERROR(VLOOKUP($A298,Sheet1!$A:$AN,21,0),""))</f>
        <v/>
      </c>
      <c r="V298" s="5" t="str">
        <f>IF($A298="","",IFERROR(SUBSTITUTE(VLOOKUP($A298,Sheet1!$A:$AN,22,0),"族",""),""))</f>
        <v/>
      </c>
      <c r="W298" s="5" t="str">
        <f>IF($A298="","",IFERROR(VLOOKUP($A298,Sheet1!$A:$AN,23,0),""))</f>
        <v/>
      </c>
      <c r="X298" s="5" t="str">
        <f>IF($A298="","",IFERROR(VLOOKUP($A298,Sheet1!$A:$AN,24,0),""))</f>
        <v/>
      </c>
      <c r="Y298" s="5" t="str">
        <f>IF($A298="","",IFERROR(VLOOKUP($A298,Sheet1!$A:$AN,25,0),""))</f>
        <v/>
      </c>
      <c r="AK298" s="5" t="str">
        <f>IF($A298="","",IFERROR(VLOOKUP($A298,Sheet1!$A:$AN,37,0),""))</f>
        <v/>
      </c>
      <c r="AL298" s="13" t="str">
        <f>IF($A298="","",IFERROR(VLOOKUP($A298,Sheet1!$A:$AN,38,0),""))</f>
        <v/>
      </c>
      <c r="AM298" s="13" t="str">
        <f>IF($A298="","",IFERROR(VLOOKUP($A298,Sheet1!$A:$AN,39,0),""))</f>
        <v/>
      </c>
      <c r="AN298" s="13" t="str">
        <f>IF($A298="","",IFERROR(VLOOKUP($A298,Sheet1!$A:$AN,40,0),""))</f>
        <v/>
      </c>
    </row>
    <row r="299" customHeight="1" spans="1:40">
      <c r="A299" s="5" t="str">
        <f>IF(Sheet1!$A299="","",Sheet1!$A299)</f>
        <v/>
      </c>
      <c r="B299" s="5" t="str">
        <f t="shared" si="20"/>
        <v/>
      </c>
      <c r="C299" s="5" t="str">
        <f>IF($A299="","",IFERROR(VLOOKUP($A299,Sheet1!$A:$AN,3,0),""))</f>
        <v/>
      </c>
      <c r="D299" s="5" t="str">
        <f t="shared" si="21"/>
        <v/>
      </c>
      <c r="I299" s="5" t="str">
        <f t="shared" si="22"/>
        <v/>
      </c>
      <c r="M299" s="5" t="str">
        <f t="shared" si="23"/>
        <v/>
      </c>
      <c r="R299" s="5" t="str">
        <f>IF($A299="","",IFERROR(VLOOKUP($A299,Sheet1!A:AN,18,0),""))</f>
        <v/>
      </c>
      <c r="S299" s="5" t="str">
        <f>IF($A299="","",IFERROR(VLOOKUP($A299,Sheet1!$A:$AN,19,0),""))</f>
        <v/>
      </c>
      <c r="T299" s="5" t="str">
        <f t="shared" si="24"/>
        <v/>
      </c>
      <c r="U299" s="5" t="str">
        <f>IF($A299="","",IFERROR(VLOOKUP($A299,Sheet1!$A:$AN,21,0),""))</f>
        <v/>
      </c>
      <c r="V299" s="5" t="str">
        <f>IF($A299="","",IFERROR(SUBSTITUTE(VLOOKUP($A299,Sheet1!$A:$AN,22,0),"族",""),""))</f>
        <v/>
      </c>
      <c r="W299" s="5" t="str">
        <f>IF($A299="","",IFERROR(VLOOKUP($A299,Sheet1!$A:$AN,23,0),""))</f>
        <v/>
      </c>
      <c r="X299" s="5" t="str">
        <f>IF($A299="","",IFERROR(VLOOKUP($A299,Sheet1!$A:$AN,24,0),""))</f>
        <v/>
      </c>
      <c r="Y299" s="5" t="str">
        <f>IF($A299="","",IFERROR(VLOOKUP($A299,Sheet1!$A:$AN,25,0),""))</f>
        <v/>
      </c>
      <c r="AK299" s="5" t="str">
        <f>IF($A299="","",IFERROR(VLOOKUP($A299,Sheet1!$A:$AN,37,0),""))</f>
        <v/>
      </c>
      <c r="AL299" s="13" t="str">
        <f>IF($A299="","",IFERROR(VLOOKUP($A299,Sheet1!$A:$AN,38,0),""))</f>
        <v/>
      </c>
      <c r="AM299" s="13" t="str">
        <f>IF($A299="","",IFERROR(VLOOKUP($A299,Sheet1!$A:$AN,39,0),""))</f>
        <v/>
      </c>
      <c r="AN299" s="13" t="str">
        <f>IF($A299="","",IFERROR(VLOOKUP($A299,Sheet1!$A:$AN,40,0),""))</f>
        <v/>
      </c>
    </row>
    <row r="300" customHeight="1" spans="1:40">
      <c r="A300" s="5" t="str">
        <f>IF(Sheet1!$A300="","",Sheet1!$A300)</f>
        <v/>
      </c>
      <c r="B300" s="5" t="str">
        <f t="shared" si="20"/>
        <v/>
      </c>
      <c r="C300" s="5" t="str">
        <f>IF($A300="","",IFERROR(VLOOKUP($A300,Sheet1!$A:$AN,3,0),""))</f>
        <v/>
      </c>
      <c r="D300" s="5" t="str">
        <f t="shared" si="21"/>
        <v/>
      </c>
      <c r="I300" s="5" t="str">
        <f t="shared" si="22"/>
        <v/>
      </c>
      <c r="M300" s="5" t="str">
        <f t="shared" si="23"/>
        <v/>
      </c>
      <c r="R300" s="5" t="str">
        <f>IF($A300="","",IFERROR(VLOOKUP($A300,Sheet1!A:AN,18,0),""))</f>
        <v/>
      </c>
      <c r="S300" s="5" t="str">
        <f>IF($A300="","",IFERROR(VLOOKUP($A300,Sheet1!$A:$AN,19,0),""))</f>
        <v/>
      </c>
      <c r="T300" s="5" t="str">
        <f t="shared" si="24"/>
        <v/>
      </c>
      <c r="U300" s="5" t="str">
        <f>IF($A300="","",IFERROR(VLOOKUP($A300,Sheet1!$A:$AN,21,0),""))</f>
        <v/>
      </c>
      <c r="V300" s="5" t="str">
        <f>IF($A300="","",IFERROR(SUBSTITUTE(VLOOKUP($A300,Sheet1!$A:$AN,22,0),"族",""),""))</f>
        <v/>
      </c>
      <c r="W300" s="5" t="str">
        <f>IF($A300="","",IFERROR(VLOOKUP($A300,Sheet1!$A:$AN,23,0),""))</f>
        <v/>
      </c>
      <c r="X300" s="5" t="str">
        <f>IF($A300="","",IFERROR(VLOOKUP($A300,Sheet1!$A:$AN,24,0),""))</f>
        <v/>
      </c>
      <c r="Y300" s="5" t="str">
        <f>IF($A300="","",IFERROR(VLOOKUP($A300,Sheet1!$A:$AN,25,0),""))</f>
        <v/>
      </c>
      <c r="AK300" s="5" t="str">
        <f>IF($A300="","",IFERROR(VLOOKUP($A300,Sheet1!$A:$AN,37,0),""))</f>
        <v/>
      </c>
      <c r="AL300" s="13" t="str">
        <f>IF($A300="","",IFERROR(VLOOKUP($A300,Sheet1!$A:$AN,38,0),""))</f>
        <v/>
      </c>
      <c r="AM300" s="13" t="str">
        <f>IF($A300="","",IFERROR(VLOOKUP($A300,Sheet1!$A:$AN,39,0),""))</f>
        <v/>
      </c>
      <c r="AN300" s="13" t="str">
        <f>IF($A300="","",IFERROR(VLOOKUP($A300,Sheet1!$A:$AN,40,0),""))</f>
        <v/>
      </c>
    </row>
    <row r="301" customHeight="1" spans="1:40">
      <c r="A301" s="5" t="str">
        <f>IF(Sheet1!$A301="","",Sheet1!$A301)</f>
        <v/>
      </c>
      <c r="B301" s="5" t="str">
        <f t="shared" si="20"/>
        <v/>
      </c>
      <c r="C301" s="5" t="str">
        <f>IF($A301="","",IFERROR(VLOOKUP($A301,Sheet1!$A:$AN,3,0),""))</f>
        <v/>
      </c>
      <c r="D301" s="5" t="str">
        <f t="shared" si="21"/>
        <v/>
      </c>
      <c r="I301" s="5" t="str">
        <f t="shared" si="22"/>
        <v/>
      </c>
      <c r="M301" s="5" t="str">
        <f t="shared" si="23"/>
        <v/>
      </c>
      <c r="R301" s="5" t="str">
        <f>IF($A301="","",IFERROR(VLOOKUP($A301,Sheet1!A:AN,18,0),""))</f>
        <v/>
      </c>
      <c r="S301" s="5" t="str">
        <f>IF($A301="","",IFERROR(VLOOKUP($A301,Sheet1!$A:$AN,19,0),""))</f>
        <v/>
      </c>
      <c r="T301" s="5" t="str">
        <f t="shared" si="24"/>
        <v/>
      </c>
      <c r="U301" s="5" t="str">
        <f>IF($A301="","",IFERROR(VLOOKUP($A301,Sheet1!$A:$AN,21,0),""))</f>
        <v/>
      </c>
      <c r="V301" s="5" t="str">
        <f>IF($A301="","",IFERROR(SUBSTITUTE(VLOOKUP($A301,Sheet1!$A:$AN,22,0),"族",""),""))</f>
        <v/>
      </c>
      <c r="W301" s="5" t="str">
        <f>IF($A301="","",IFERROR(VLOOKUP($A301,Sheet1!$A:$AN,23,0),""))</f>
        <v/>
      </c>
      <c r="X301" s="5" t="str">
        <f>IF($A301="","",IFERROR(VLOOKUP($A301,Sheet1!$A:$AN,24,0),""))</f>
        <v/>
      </c>
      <c r="Y301" s="5" t="str">
        <f>IF($A301="","",IFERROR(VLOOKUP($A301,Sheet1!$A:$AN,25,0),""))</f>
        <v/>
      </c>
      <c r="AK301" s="5" t="str">
        <f>IF($A301="","",IFERROR(VLOOKUP($A301,Sheet1!$A:$AN,37,0),""))</f>
        <v/>
      </c>
      <c r="AL301" s="13" t="str">
        <f>IF($A301="","",IFERROR(VLOOKUP($A301,Sheet1!$A:$AN,38,0),""))</f>
        <v/>
      </c>
      <c r="AM301" s="13" t="str">
        <f>IF($A301="","",IFERROR(VLOOKUP($A301,Sheet1!$A:$AN,39,0),""))</f>
        <v/>
      </c>
      <c r="AN301" s="13" t="str">
        <f>IF($A301="","",IFERROR(VLOOKUP($A301,Sheet1!$A:$AN,40,0),""))</f>
        <v/>
      </c>
    </row>
    <row r="302" customHeight="1" spans="1:40">
      <c r="A302" s="5" t="str">
        <f>IF(Sheet1!$A302="","",Sheet1!$A302)</f>
        <v/>
      </c>
      <c r="B302" s="5" t="str">
        <f t="shared" si="20"/>
        <v/>
      </c>
      <c r="C302" s="5" t="str">
        <f>IF($A302="","",IFERROR(VLOOKUP($A302,Sheet1!$A:$AN,3,0),""))</f>
        <v/>
      </c>
      <c r="D302" s="5" t="str">
        <f t="shared" si="21"/>
        <v/>
      </c>
      <c r="I302" s="5" t="str">
        <f t="shared" si="22"/>
        <v/>
      </c>
      <c r="M302" s="5" t="str">
        <f t="shared" si="23"/>
        <v/>
      </c>
      <c r="R302" s="5" t="str">
        <f>IF($A302="","",IFERROR(VLOOKUP($A302,Sheet1!A:AN,18,0),""))</f>
        <v/>
      </c>
      <c r="S302" s="5" t="str">
        <f>IF($A302="","",IFERROR(VLOOKUP($A302,Sheet1!$A:$AN,19,0),""))</f>
        <v/>
      </c>
      <c r="T302" s="5" t="str">
        <f t="shared" si="24"/>
        <v/>
      </c>
      <c r="U302" s="5" t="str">
        <f>IF($A302="","",IFERROR(VLOOKUP($A302,Sheet1!$A:$AN,21,0),""))</f>
        <v/>
      </c>
      <c r="V302" s="5" t="str">
        <f>IF($A302="","",IFERROR(SUBSTITUTE(VLOOKUP($A302,Sheet1!$A:$AN,22,0),"族",""),""))</f>
        <v/>
      </c>
      <c r="W302" s="5" t="str">
        <f>IF($A302="","",IFERROR(VLOOKUP($A302,Sheet1!$A:$AN,23,0),""))</f>
        <v/>
      </c>
      <c r="X302" s="5" t="str">
        <f>IF($A302="","",IFERROR(VLOOKUP($A302,Sheet1!$A:$AN,24,0),""))</f>
        <v/>
      </c>
      <c r="Y302" s="5" t="str">
        <f>IF($A302="","",IFERROR(VLOOKUP($A302,Sheet1!$A:$AN,25,0),""))</f>
        <v/>
      </c>
      <c r="AK302" s="5" t="str">
        <f>IF($A302="","",IFERROR(VLOOKUP($A302,Sheet1!$A:$AN,37,0),""))</f>
        <v/>
      </c>
      <c r="AL302" s="13" t="str">
        <f>IF($A302="","",IFERROR(VLOOKUP($A302,Sheet1!$A:$AN,38,0),""))</f>
        <v/>
      </c>
      <c r="AM302" s="13" t="str">
        <f>IF($A302="","",IFERROR(VLOOKUP($A302,Sheet1!$A:$AN,39,0),""))</f>
        <v/>
      </c>
      <c r="AN302" s="13" t="str">
        <f>IF($A302="","",IFERROR(VLOOKUP($A302,Sheet1!$A:$AN,40,0),""))</f>
        <v/>
      </c>
    </row>
    <row r="303" customHeight="1" spans="1:40">
      <c r="A303" s="5" t="str">
        <f>IF(Sheet1!$A303="","",Sheet1!$A303)</f>
        <v/>
      </c>
      <c r="B303" s="5" t="str">
        <f t="shared" si="20"/>
        <v/>
      </c>
      <c r="C303" s="5" t="str">
        <f>IF($A303="","",IFERROR(VLOOKUP($A303,Sheet1!$A:$AN,3,0),""))</f>
        <v/>
      </c>
      <c r="D303" s="5" t="str">
        <f t="shared" si="21"/>
        <v/>
      </c>
      <c r="I303" s="5" t="str">
        <f t="shared" si="22"/>
        <v/>
      </c>
      <c r="M303" s="5" t="str">
        <f t="shared" si="23"/>
        <v/>
      </c>
      <c r="R303" s="5" t="str">
        <f>IF($A303="","",IFERROR(VLOOKUP($A303,Sheet1!A:AN,18,0),""))</f>
        <v/>
      </c>
      <c r="S303" s="5" t="str">
        <f>IF($A303="","",IFERROR(VLOOKUP($A303,Sheet1!$A:$AN,19,0),""))</f>
        <v/>
      </c>
      <c r="T303" s="5" t="str">
        <f t="shared" si="24"/>
        <v/>
      </c>
      <c r="U303" s="5" t="str">
        <f>IF($A303="","",IFERROR(VLOOKUP($A303,Sheet1!$A:$AN,21,0),""))</f>
        <v/>
      </c>
      <c r="V303" s="5" t="str">
        <f>IF($A303="","",IFERROR(SUBSTITUTE(VLOOKUP($A303,Sheet1!$A:$AN,22,0),"族",""),""))</f>
        <v/>
      </c>
      <c r="W303" s="5" t="str">
        <f>IF($A303="","",IFERROR(VLOOKUP($A303,Sheet1!$A:$AN,23,0),""))</f>
        <v/>
      </c>
      <c r="X303" s="5" t="str">
        <f>IF($A303="","",IFERROR(VLOOKUP($A303,Sheet1!$A:$AN,24,0),""))</f>
        <v/>
      </c>
      <c r="Y303" s="5" t="str">
        <f>IF($A303="","",IFERROR(VLOOKUP($A303,Sheet1!$A:$AN,25,0),""))</f>
        <v/>
      </c>
      <c r="AK303" s="5" t="str">
        <f>IF($A303="","",IFERROR(VLOOKUP($A303,Sheet1!$A:$AN,37,0),""))</f>
        <v/>
      </c>
      <c r="AL303" s="13" t="str">
        <f>IF($A303="","",IFERROR(VLOOKUP($A303,Sheet1!$A:$AN,38,0),""))</f>
        <v/>
      </c>
      <c r="AM303" s="13" t="str">
        <f>IF($A303="","",IFERROR(VLOOKUP($A303,Sheet1!$A:$AN,39,0),""))</f>
        <v/>
      </c>
      <c r="AN303" s="13" t="str">
        <f>IF($A303="","",IFERROR(VLOOKUP($A303,Sheet1!$A:$AN,40,0),""))</f>
        <v/>
      </c>
    </row>
    <row r="304" customHeight="1" spans="1:40">
      <c r="A304" s="5" t="str">
        <f>IF(Sheet1!$A304="","",Sheet1!$A304)</f>
        <v/>
      </c>
      <c r="B304" s="5" t="str">
        <f t="shared" si="20"/>
        <v/>
      </c>
      <c r="C304" s="5" t="str">
        <f>IF($A304="","",IFERROR(VLOOKUP($A304,Sheet1!$A:$AN,3,0),""))</f>
        <v/>
      </c>
      <c r="D304" s="5" t="str">
        <f t="shared" si="21"/>
        <v/>
      </c>
      <c r="I304" s="5" t="str">
        <f t="shared" si="22"/>
        <v/>
      </c>
      <c r="M304" s="5" t="str">
        <f t="shared" si="23"/>
        <v/>
      </c>
      <c r="R304" s="5" t="str">
        <f>IF($A304="","",IFERROR(VLOOKUP($A304,Sheet1!A:AN,18,0),""))</f>
        <v/>
      </c>
      <c r="S304" s="5" t="str">
        <f>IF($A304="","",IFERROR(VLOOKUP($A304,Sheet1!$A:$AN,19,0),""))</f>
        <v/>
      </c>
      <c r="T304" s="5" t="str">
        <f t="shared" si="24"/>
        <v/>
      </c>
      <c r="U304" s="5" t="str">
        <f>IF($A304="","",IFERROR(VLOOKUP($A304,Sheet1!$A:$AN,21,0),""))</f>
        <v/>
      </c>
      <c r="V304" s="5" t="str">
        <f>IF($A304="","",IFERROR(SUBSTITUTE(VLOOKUP($A304,Sheet1!$A:$AN,22,0),"族",""),""))</f>
        <v/>
      </c>
      <c r="W304" s="5" t="str">
        <f>IF($A304="","",IFERROR(VLOOKUP($A304,Sheet1!$A:$AN,23,0),""))</f>
        <v/>
      </c>
      <c r="X304" s="5" t="str">
        <f>IF($A304="","",IFERROR(VLOOKUP($A304,Sheet1!$A:$AN,24,0),""))</f>
        <v/>
      </c>
      <c r="Y304" s="5" t="str">
        <f>IF($A304="","",IFERROR(VLOOKUP($A304,Sheet1!$A:$AN,25,0),""))</f>
        <v/>
      </c>
      <c r="AK304" s="5" t="str">
        <f>IF($A304="","",IFERROR(VLOOKUP($A304,Sheet1!$A:$AN,37,0),""))</f>
        <v/>
      </c>
      <c r="AL304" s="13" t="str">
        <f>IF($A304="","",IFERROR(VLOOKUP($A304,Sheet1!$A:$AN,38,0),""))</f>
        <v/>
      </c>
      <c r="AM304" s="13" t="str">
        <f>IF($A304="","",IFERROR(VLOOKUP($A304,Sheet1!$A:$AN,39,0),""))</f>
        <v/>
      </c>
      <c r="AN304" s="13" t="str">
        <f>IF($A304="","",IFERROR(VLOOKUP($A304,Sheet1!$A:$AN,40,0),""))</f>
        <v/>
      </c>
    </row>
    <row r="305" customHeight="1" spans="1:40">
      <c r="A305" s="5" t="str">
        <f>IF(Sheet1!$A305="","",Sheet1!$A305)</f>
        <v/>
      </c>
      <c r="B305" s="5" t="str">
        <f t="shared" si="20"/>
        <v/>
      </c>
      <c r="C305" s="5" t="str">
        <f>IF($A305="","",IFERROR(VLOOKUP($A305,Sheet1!$A:$AN,3,0),""))</f>
        <v/>
      </c>
      <c r="D305" s="5" t="str">
        <f t="shared" si="21"/>
        <v/>
      </c>
      <c r="I305" s="5" t="str">
        <f t="shared" si="22"/>
        <v/>
      </c>
      <c r="M305" s="5" t="str">
        <f t="shared" si="23"/>
        <v/>
      </c>
      <c r="R305" s="5" t="str">
        <f>IF($A305="","",IFERROR(VLOOKUP($A305,Sheet1!A:AN,18,0),""))</f>
        <v/>
      </c>
      <c r="S305" s="5" t="str">
        <f>IF($A305="","",IFERROR(VLOOKUP($A305,Sheet1!$A:$AN,19,0),""))</f>
        <v/>
      </c>
      <c r="T305" s="5" t="str">
        <f t="shared" si="24"/>
        <v/>
      </c>
      <c r="U305" s="5" t="str">
        <f>IF($A305="","",IFERROR(VLOOKUP($A305,Sheet1!$A:$AN,21,0),""))</f>
        <v/>
      </c>
      <c r="V305" s="5" t="str">
        <f>IF($A305="","",IFERROR(SUBSTITUTE(VLOOKUP($A305,Sheet1!$A:$AN,22,0),"族",""),""))</f>
        <v/>
      </c>
      <c r="W305" s="5" t="str">
        <f>IF($A305="","",IFERROR(VLOOKUP($A305,Sheet1!$A:$AN,23,0),""))</f>
        <v/>
      </c>
      <c r="X305" s="5" t="str">
        <f>IF($A305="","",IFERROR(VLOOKUP($A305,Sheet1!$A:$AN,24,0),""))</f>
        <v/>
      </c>
      <c r="Y305" s="5" t="str">
        <f>IF($A305="","",IFERROR(VLOOKUP($A305,Sheet1!$A:$AN,25,0),""))</f>
        <v/>
      </c>
      <c r="AK305" s="5" t="str">
        <f>IF($A305="","",IFERROR(VLOOKUP($A305,Sheet1!$A:$AN,37,0),""))</f>
        <v/>
      </c>
      <c r="AL305" s="13" t="str">
        <f>IF($A305="","",IFERROR(VLOOKUP($A305,Sheet1!$A:$AN,38,0),""))</f>
        <v/>
      </c>
      <c r="AM305" s="13" t="str">
        <f>IF($A305="","",IFERROR(VLOOKUP($A305,Sheet1!$A:$AN,39,0),""))</f>
        <v/>
      </c>
      <c r="AN305" s="13" t="str">
        <f>IF($A305="","",IFERROR(VLOOKUP($A305,Sheet1!$A:$AN,40,0),""))</f>
        <v/>
      </c>
    </row>
    <row r="306" customHeight="1" spans="1:40">
      <c r="A306" s="5" t="str">
        <f>IF(Sheet1!$A306="","",Sheet1!$A306)</f>
        <v/>
      </c>
      <c r="B306" s="5" t="str">
        <f t="shared" si="20"/>
        <v/>
      </c>
      <c r="C306" s="5" t="str">
        <f>IF($A306="","",IFERROR(VLOOKUP($A306,Sheet1!$A:$AN,3,0),""))</f>
        <v/>
      </c>
      <c r="D306" s="5" t="str">
        <f t="shared" si="21"/>
        <v/>
      </c>
      <c r="I306" s="5" t="str">
        <f t="shared" si="22"/>
        <v/>
      </c>
      <c r="M306" s="5" t="str">
        <f t="shared" si="23"/>
        <v/>
      </c>
      <c r="R306" s="5" t="str">
        <f>IF($A306="","",IFERROR(VLOOKUP($A306,Sheet1!A:AN,18,0),""))</f>
        <v/>
      </c>
      <c r="S306" s="5" t="str">
        <f>IF($A306="","",IFERROR(VLOOKUP($A306,Sheet1!$A:$AN,19,0),""))</f>
        <v/>
      </c>
      <c r="T306" s="5" t="str">
        <f t="shared" si="24"/>
        <v/>
      </c>
      <c r="U306" s="5" t="str">
        <f>IF($A306="","",IFERROR(VLOOKUP($A306,Sheet1!$A:$AN,21,0),""))</f>
        <v/>
      </c>
      <c r="V306" s="5" t="str">
        <f>IF($A306="","",IFERROR(SUBSTITUTE(VLOOKUP($A306,Sheet1!$A:$AN,22,0),"族",""),""))</f>
        <v/>
      </c>
      <c r="W306" s="5" t="str">
        <f>IF($A306="","",IFERROR(VLOOKUP($A306,Sheet1!$A:$AN,23,0),""))</f>
        <v/>
      </c>
      <c r="X306" s="5" t="str">
        <f>IF($A306="","",IFERROR(VLOOKUP($A306,Sheet1!$A:$AN,24,0),""))</f>
        <v/>
      </c>
      <c r="Y306" s="5" t="str">
        <f>IF($A306="","",IFERROR(VLOOKUP($A306,Sheet1!$A:$AN,25,0),""))</f>
        <v/>
      </c>
      <c r="AK306" s="5" t="str">
        <f>IF($A306="","",IFERROR(VLOOKUP($A306,Sheet1!$A:$AN,37,0),""))</f>
        <v/>
      </c>
      <c r="AL306" s="13" t="str">
        <f>IF($A306="","",IFERROR(VLOOKUP($A306,Sheet1!$A:$AN,38,0),""))</f>
        <v/>
      </c>
      <c r="AM306" s="13" t="str">
        <f>IF($A306="","",IFERROR(VLOOKUP($A306,Sheet1!$A:$AN,39,0),""))</f>
        <v/>
      </c>
      <c r="AN306" s="13" t="str">
        <f>IF($A306="","",IFERROR(VLOOKUP($A306,Sheet1!$A:$AN,40,0),""))</f>
        <v/>
      </c>
    </row>
    <row r="307" customHeight="1" spans="1:40">
      <c r="A307" s="5" t="str">
        <f>IF(Sheet1!$A307="","",Sheet1!$A307)</f>
        <v/>
      </c>
      <c r="B307" s="5" t="str">
        <f t="shared" si="20"/>
        <v/>
      </c>
      <c r="C307" s="5" t="str">
        <f>IF($A307="","",IFERROR(VLOOKUP($A307,Sheet1!$A:$AN,3,0),""))</f>
        <v/>
      </c>
      <c r="D307" s="5" t="str">
        <f t="shared" si="21"/>
        <v/>
      </c>
      <c r="I307" s="5" t="str">
        <f t="shared" si="22"/>
        <v/>
      </c>
      <c r="M307" s="5" t="str">
        <f t="shared" si="23"/>
        <v/>
      </c>
      <c r="R307" s="5" t="str">
        <f>IF($A307="","",IFERROR(VLOOKUP($A307,Sheet1!A:AN,18,0),""))</f>
        <v/>
      </c>
      <c r="S307" s="5" t="str">
        <f>IF($A307="","",IFERROR(VLOOKUP($A307,Sheet1!$A:$AN,19,0),""))</f>
        <v/>
      </c>
      <c r="T307" s="5" t="str">
        <f t="shared" si="24"/>
        <v/>
      </c>
      <c r="U307" s="5" t="str">
        <f>IF($A307="","",IFERROR(VLOOKUP($A307,Sheet1!$A:$AN,21,0),""))</f>
        <v/>
      </c>
      <c r="V307" s="5" t="str">
        <f>IF($A307="","",IFERROR(SUBSTITUTE(VLOOKUP($A307,Sheet1!$A:$AN,22,0),"族",""),""))</f>
        <v/>
      </c>
      <c r="W307" s="5" t="str">
        <f>IF($A307="","",IFERROR(VLOOKUP($A307,Sheet1!$A:$AN,23,0),""))</f>
        <v/>
      </c>
      <c r="X307" s="5" t="str">
        <f>IF($A307="","",IFERROR(VLOOKUP($A307,Sheet1!$A:$AN,24,0),""))</f>
        <v/>
      </c>
      <c r="Y307" s="5" t="str">
        <f>IF($A307="","",IFERROR(VLOOKUP($A307,Sheet1!$A:$AN,25,0),""))</f>
        <v/>
      </c>
      <c r="AK307" s="5" t="str">
        <f>IF($A307="","",IFERROR(VLOOKUP($A307,Sheet1!$A:$AN,37,0),""))</f>
        <v/>
      </c>
      <c r="AL307" s="13" t="str">
        <f>IF($A307="","",IFERROR(VLOOKUP($A307,Sheet1!$A:$AN,38,0),""))</f>
        <v/>
      </c>
      <c r="AM307" s="13" t="str">
        <f>IF($A307="","",IFERROR(VLOOKUP($A307,Sheet1!$A:$AN,39,0),""))</f>
        <v/>
      </c>
      <c r="AN307" s="13" t="str">
        <f>IF($A307="","",IFERROR(VLOOKUP($A307,Sheet1!$A:$AN,40,0),""))</f>
        <v/>
      </c>
    </row>
    <row r="308" customHeight="1" spans="1:40">
      <c r="A308" s="5" t="str">
        <f>IF(Sheet1!$A308="","",Sheet1!$A308)</f>
        <v/>
      </c>
      <c r="B308" s="5" t="str">
        <f t="shared" si="20"/>
        <v/>
      </c>
      <c r="C308" s="5" t="str">
        <f>IF($A308="","",IFERROR(VLOOKUP($A308,Sheet1!$A:$AN,3,0),""))</f>
        <v/>
      </c>
      <c r="D308" s="5" t="str">
        <f t="shared" si="21"/>
        <v/>
      </c>
      <c r="I308" s="5" t="str">
        <f t="shared" si="22"/>
        <v/>
      </c>
      <c r="M308" s="5" t="str">
        <f t="shared" si="23"/>
        <v/>
      </c>
      <c r="R308" s="5" t="str">
        <f>IF($A308="","",IFERROR(VLOOKUP($A308,Sheet1!A:AN,18,0),""))</f>
        <v/>
      </c>
      <c r="S308" s="5" t="str">
        <f>IF($A308="","",IFERROR(VLOOKUP($A308,Sheet1!$A:$AN,19,0),""))</f>
        <v/>
      </c>
      <c r="T308" s="5" t="str">
        <f t="shared" si="24"/>
        <v/>
      </c>
      <c r="U308" s="5" t="str">
        <f>IF($A308="","",IFERROR(VLOOKUP($A308,Sheet1!$A:$AN,21,0),""))</f>
        <v/>
      </c>
      <c r="V308" s="5" t="str">
        <f>IF($A308="","",IFERROR(SUBSTITUTE(VLOOKUP($A308,Sheet1!$A:$AN,22,0),"族",""),""))</f>
        <v/>
      </c>
      <c r="W308" s="5" t="str">
        <f>IF($A308="","",IFERROR(VLOOKUP($A308,Sheet1!$A:$AN,23,0),""))</f>
        <v/>
      </c>
      <c r="X308" s="5" t="str">
        <f>IF($A308="","",IFERROR(VLOOKUP($A308,Sheet1!$A:$AN,24,0),""))</f>
        <v/>
      </c>
      <c r="Y308" s="5" t="str">
        <f>IF($A308="","",IFERROR(VLOOKUP($A308,Sheet1!$A:$AN,25,0),""))</f>
        <v/>
      </c>
      <c r="AK308" s="5" t="str">
        <f>IF($A308="","",IFERROR(VLOOKUP($A308,Sheet1!$A:$AN,37,0),""))</f>
        <v/>
      </c>
      <c r="AL308" s="13" t="str">
        <f>IF($A308="","",IFERROR(VLOOKUP($A308,Sheet1!$A:$AN,38,0),""))</f>
        <v/>
      </c>
      <c r="AM308" s="13" t="str">
        <f>IF($A308="","",IFERROR(VLOOKUP($A308,Sheet1!$A:$AN,39,0),""))</f>
        <v/>
      </c>
      <c r="AN308" s="13" t="str">
        <f>IF($A308="","",IFERROR(VLOOKUP($A308,Sheet1!$A:$AN,40,0),""))</f>
        <v/>
      </c>
    </row>
    <row r="309" customHeight="1" spans="1:40">
      <c r="A309" s="5" t="str">
        <f>IF(Sheet1!$A309="","",Sheet1!$A309)</f>
        <v/>
      </c>
      <c r="B309" s="5" t="str">
        <f t="shared" si="20"/>
        <v/>
      </c>
      <c r="C309" s="5" t="str">
        <f>IF($A309="","",IFERROR(VLOOKUP($A309,Sheet1!$A:$AN,3,0),""))</f>
        <v/>
      </c>
      <c r="D309" s="5" t="str">
        <f t="shared" si="21"/>
        <v/>
      </c>
      <c r="I309" s="5" t="str">
        <f t="shared" si="22"/>
        <v/>
      </c>
      <c r="M309" s="5" t="str">
        <f t="shared" si="23"/>
        <v/>
      </c>
      <c r="R309" s="5" t="str">
        <f>IF($A309="","",IFERROR(VLOOKUP($A309,Sheet1!A:AN,18,0),""))</f>
        <v/>
      </c>
      <c r="S309" s="5" t="str">
        <f>IF($A309="","",IFERROR(VLOOKUP($A309,Sheet1!$A:$AN,19,0),""))</f>
        <v/>
      </c>
      <c r="T309" s="5" t="str">
        <f t="shared" si="24"/>
        <v/>
      </c>
      <c r="U309" s="5" t="str">
        <f>IF($A309="","",IFERROR(VLOOKUP($A309,Sheet1!$A:$AN,21,0),""))</f>
        <v/>
      </c>
      <c r="V309" s="5" t="str">
        <f>IF($A309="","",IFERROR(SUBSTITUTE(VLOOKUP($A309,Sheet1!$A:$AN,22,0),"族",""),""))</f>
        <v/>
      </c>
      <c r="W309" s="5" t="str">
        <f>IF($A309="","",IFERROR(VLOOKUP($A309,Sheet1!$A:$AN,23,0),""))</f>
        <v/>
      </c>
      <c r="X309" s="5" t="str">
        <f>IF($A309="","",IFERROR(VLOOKUP($A309,Sheet1!$A:$AN,24,0),""))</f>
        <v/>
      </c>
      <c r="Y309" s="5" t="str">
        <f>IF($A309="","",IFERROR(VLOOKUP($A309,Sheet1!$A:$AN,25,0),""))</f>
        <v/>
      </c>
      <c r="AK309" s="5" t="str">
        <f>IF($A309="","",IFERROR(VLOOKUP($A309,Sheet1!$A:$AN,37,0),""))</f>
        <v/>
      </c>
      <c r="AL309" s="13" t="str">
        <f>IF($A309="","",IFERROR(VLOOKUP($A309,Sheet1!$A:$AN,38,0),""))</f>
        <v/>
      </c>
      <c r="AM309" s="13" t="str">
        <f>IF($A309="","",IFERROR(VLOOKUP($A309,Sheet1!$A:$AN,39,0),""))</f>
        <v/>
      </c>
      <c r="AN309" s="13" t="str">
        <f>IF($A309="","",IFERROR(VLOOKUP($A309,Sheet1!$A:$AN,40,0),""))</f>
        <v/>
      </c>
    </row>
    <row r="310" customHeight="1" spans="1:40">
      <c r="A310" s="5" t="str">
        <f>IF(Sheet1!$A310="","",Sheet1!$A310)</f>
        <v/>
      </c>
      <c r="B310" s="5" t="str">
        <f t="shared" si="20"/>
        <v/>
      </c>
      <c r="C310" s="5" t="str">
        <f>IF($A310="","",IFERROR(VLOOKUP($A310,Sheet1!$A:$AN,3,0),""))</f>
        <v/>
      </c>
      <c r="D310" s="5" t="str">
        <f t="shared" si="21"/>
        <v/>
      </c>
      <c r="I310" s="5" t="str">
        <f t="shared" si="22"/>
        <v/>
      </c>
      <c r="M310" s="5" t="str">
        <f t="shared" si="23"/>
        <v/>
      </c>
      <c r="R310" s="5" t="str">
        <f>IF($A310="","",IFERROR(VLOOKUP($A310,Sheet1!A:AN,18,0),""))</f>
        <v/>
      </c>
      <c r="S310" s="5" t="str">
        <f>IF($A310="","",IFERROR(VLOOKUP($A310,Sheet1!$A:$AN,19,0),""))</f>
        <v/>
      </c>
      <c r="T310" s="5" t="str">
        <f t="shared" si="24"/>
        <v/>
      </c>
      <c r="U310" s="5" t="str">
        <f>IF($A310="","",IFERROR(VLOOKUP($A310,Sheet1!$A:$AN,21,0),""))</f>
        <v/>
      </c>
      <c r="V310" s="5" t="str">
        <f>IF($A310="","",IFERROR(SUBSTITUTE(VLOOKUP($A310,Sheet1!$A:$AN,22,0),"族",""),""))</f>
        <v/>
      </c>
      <c r="W310" s="5" t="str">
        <f>IF($A310="","",IFERROR(VLOOKUP($A310,Sheet1!$A:$AN,23,0),""))</f>
        <v/>
      </c>
      <c r="X310" s="5" t="str">
        <f>IF($A310="","",IFERROR(VLOOKUP($A310,Sheet1!$A:$AN,24,0),""))</f>
        <v/>
      </c>
      <c r="Y310" s="5" t="str">
        <f>IF($A310="","",IFERROR(VLOOKUP($A310,Sheet1!$A:$AN,25,0),""))</f>
        <v/>
      </c>
      <c r="AK310" s="5" t="str">
        <f>IF($A310="","",IFERROR(VLOOKUP($A310,Sheet1!$A:$AN,37,0),""))</f>
        <v/>
      </c>
      <c r="AL310" s="13" t="str">
        <f>IF($A310="","",IFERROR(VLOOKUP($A310,Sheet1!$A:$AN,38,0),""))</f>
        <v/>
      </c>
      <c r="AM310" s="13" t="str">
        <f>IF($A310="","",IFERROR(VLOOKUP($A310,Sheet1!$A:$AN,39,0),""))</f>
        <v/>
      </c>
      <c r="AN310" s="13" t="str">
        <f>IF($A310="","",IFERROR(VLOOKUP($A310,Sheet1!$A:$AN,40,0),""))</f>
        <v/>
      </c>
    </row>
    <row r="311" customHeight="1" spans="1:40">
      <c r="A311" s="5" t="str">
        <f>IF(Sheet1!$A311="","",Sheet1!$A311)</f>
        <v/>
      </c>
      <c r="B311" s="5" t="str">
        <f t="shared" si="20"/>
        <v/>
      </c>
      <c r="C311" s="5" t="str">
        <f>IF($A311="","",IFERROR(VLOOKUP($A311,Sheet1!$A:$AN,3,0),""))</f>
        <v/>
      </c>
      <c r="D311" s="5" t="str">
        <f t="shared" si="21"/>
        <v/>
      </c>
      <c r="I311" s="5" t="str">
        <f t="shared" si="22"/>
        <v/>
      </c>
      <c r="M311" s="5" t="str">
        <f t="shared" si="23"/>
        <v/>
      </c>
      <c r="R311" s="5" t="str">
        <f>IF($A311="","",IFERROR(VLOOKUP($A311,Sheet1!A:AN,18,0),""))</f>
        <v/>
      </c>
      <c r="S311" s="5" t="str">
        <f>IF($A311="","",IFERROR(VLOOKUP($A311,Sheet1!$A:$AN,19,0),""))</f>
        <v/>
      </c>
      <c r="T311" s="5" t="str">
        <f t="shared" si="24"/>
        <v/>
      </c>
      <c r="U311" s="5" t="str">
        <f>IF($A311="","",IFERROR(VLOOKUP($A311,Sheet1!$A:$AN,21,0),""))</f>
        <v/>
      </c>
      <c r="V311" s="5" t="str">
        <f>IF($A311="","",IFERROR(SUBSTITUTE(VLOOKUP($A311,Sheet1!$A:$AN,22,0),"族",""),""))</f>
        <v/>
      </c>
      <c r="W311" s="5" t="str">
        <f>IF($A311="","",IFERROR(VLOOKUP($A311,Sheet1!$A:$AN,23,0),""))</f>
        <v/>
      </c>
      <c r="X311" s="5" t="str">
        <f>IF($A311="","",IFERROR(VLOOKUP($A311,Sheet1!$A:$AN,24,0),""))</f>
        <v/>
      </c>
      <c r="Y311" s="5" t="str">
        <f>IF($A311="","",IFERROR(VLOOKUP($A311,Sheet1!$A:$AN,25,0),""))</f>
        <v/>
      </c>
      <c r="AK311" s="5" t="str">
        <f>IF($A311="","",IFERROR(VLOOKUP($A311,Sheet1!$A:$AN,37,0),""))</f>
        <v/>
      </c>
      <c r="AL311" s="13" t="str">
        <f>IF($A311="","",IFERROR(VLOOKUP($A311,Sheet1!$A:$AN,38,0),""))</f>
        <v/>
      </c>
      <c r="AM311" s="13" t="str">
        <f>IF($A311="","",IFERROR(VLOOKUP($A311,Sheet1!$A:$AN,39,0),""))</f>
        <v/>
      </c>
      <c r="AN311" s="13" t="str">
        <f>IF($A311="","",IFERROR(VLOOKUP($A311,Sheet1!$A:$AN,40,0),""))</f>
        <v/>
      </c>
    </row>
    <row r="312" customHeight="1" spans="1:40">
      <c r="A312" s="5" t="str">
        <f>IF(Sheet1!$A312="","",Sheet1!$A312)</f>
        <v/>
      </c>
      <c r="B312" s="5" t="str">
        <f t="shared" si="20"/>
        <v/>
      </c>
      <c r="C312" s="5" t="str">
        <f>IF($A312="","",IFERROR(VLOOKUP($A312,Sheet1!$A:$AN,3,0),""))</f>
        <v/>
      </c>
      <c r="D312" s="5" t="str">
        <f t="shared" si="21"/>
        <v/>
      </c>
      <c r="I312" s="5" t="str">
        <f t="shared" si="22"/>
        <v/>
      </c>
      <c r="M312" s="5" t="str">
        <f t="shared" si="23"/>
        <v/>
      </c>
      <c r="R312" s="5" t="str">
        <f>IF($A312="","",IFERROR(VLOOKUP($A312,Sheet1!A:AN,18,0),""))</f>
        <v/>
      </c>
      <c r="S312" s="5" t="str">
        <f>IF($A312="","",IFERROR(VLOOKUP($A312,Sheet1!$A:$AN,19,0),""))</f>
        <v/>
      </c>
      <c r="T312" s="5" t="str">
        <f t="shared" si="24"/>
        <v/>
      </c>
      <c r="U312" s="5" t="str">
        <f>IF($A312="","",IFERROR(VLOOKUP($A312,Sheet1!$A:$AN,21,0),""))</f>
        <v/>
      </c>
      <c r="V312" s="5" t="str">
        <f>IF($A312="","",IFERROR(SUBSTITUTE(VLOOKUP($A312,Sheet1!$A:$AN,22,0),"族",""),""))</f>
        <v/>
      </c>
      <c r="W312" s="5" t="str">
        <f>IF($A312="","",IFERROR(VLOOKUP($A312,Sheet1!$A:$AN,23,0),""))</f>
        <v/>
      </c>
      <c r="X312" s="5" t="str">
        <f>IF($A312="","",IFERROR(VLOOKUP($A312,Sheet1!$A:$AN,24,0),""))</f>
        <v/>
      </c>
      <c r="Y312" s="5" t="str">
        <f>IF($A312="","",IFERROR(VLOOKUP($A312,Sheet1!$A:$AN,25,0),""))</f>
        <v/>
      </c>
      <c r="AK312" s="5" t="str">
        <f>IF($A312="","",IFERROR(VLOOKUP($A312,Sheet1!$A:$AN,37,0),""))</f>
        <v/>
      </c>
      <c r="AL312" s="13" t="str">
        <f>IF($A312="","",IFERROR(VLOOKUP($A312,Sheet1!$A:$AN,38,0),""))</f>
        <v/>
      </c>
      <c r="AM312" s="13" t="str">
        <f>IF($A312="","",IFERROR(VLOOKUP($A312,Sheet1!$A:$AN,39,0),""))</f>
        <v/>
      </c>
      <c r="AN312" s="13" t="str">
        <f>IF($A312="","",IFERROR(VLOOKUP($A312,Sheet1!$A:$AN,40,0),""))</f>
        <v/>
      </c>
    </row>
    <row r="313" customHeight="1" spans="1:40">
      <c r="A313" s="5" t="str">
        <f>IF(Sheet1!$A313="","",Sheet1!$A313)</f>
        <v/>
      </c>
      <c r="B313" s="5" t="str">
        <f t="shared" si="20"/>
        <v/>
      </c>
      <c r="C313" s="5" t="str">
        <f>IF($A313="","",IFERROR(VLOOKUP($A313,Sheet1!$A:$AN,3,0),""))</f>
        <v/>
      </c>
      <c r="D313" s="5" t="str">
        <f t="shared" si="21"/>
        <v/>
      </c>
      <c r="I313" s="5" t="str">
        <f t="shared" si="22"/>
        <v/>
      </c>
      <c r="M313" s="5" t="str">
        <f t="shared" si="23"/>
        <v/>
      </c>
      <c r="R313" s="5" t="str">
        <f>IF($A313="","",IFERROR(VLOOKUP($A313,Sheet1!A:AN,18,0),""))</f>
        <v/>
      </c>
      <c r="S313" s="5" t="str">
        <f>IF($A313="","",IFERROR(VLOOKUP($A313,Sheet1!$A:$AN,19,0),""))</f>
        <v/>
      </c>
      <c r="T313" s="5" t="str">
        <f t="shared" si="24"/>
        <v/>
      </c>
      <c r="U313" s="5" t="str">
        <f>IF($A313="","",IFERROR(VLOOKUP($A313,Sheet1!$A:$AN,21,0),""))</f>
        <v/>
      </c>
      <c r="V313" s="5" t="str">
        <f>IF($A313="","",IFERROR(SUBSTITUTE(VLOOKUP($A313,Sheet1!$A:$AN,22,0),"族",""),""))</f>
        <v/>
      </c>
      <c r="W313" s="5" t="str">
        <f>IF($A313="","",IFERROR(VLOOKUP($A313,Sheet1!$A:$AN,23,0),""))</f>
        <v/>
      </c>
      <c r="X313" s="5" t="str">
        <f>IF($A313="","",IFERROR(VLOOKUP($A313,Sheet1!$A:$AN,24,0),""))</f>
        <v/>
      </c>
      <c r="Y313" s="5" t="str">
        <f>IF($A313="","",IFERROR(VLOOKUP($A313,Sheet1!$A:$AN,25,0),""))</f>
        <v/>
      </c>
      <c r="AK313" s="5" t="str">
        <f>IF($A313="","",IFERROR(VLOOKUP($A313,Sheet1!$A:$AN,37,0),""))</f>
        <v/>
      </c>
      <c r="AL313" s="13" t="str">
        <f>IF($A313="","",IFERROR(VLOOKUP($A313,Sheet1!$A:$AN,38,0),""))</f>
        <v/>
      </c>
      <c r="AM313" s="13" t="str">
        <f>IF($A313="","",IFERROR(VLOOKUP($A313,Sheet1!$A:$AN,39,0),""))</f>
        <v/>
      </c>
      <c r="AN313" s="13" t="str">
        <f>IF($A313="","",IFERROR(VLOOKUP($A313,Sheet1!$A:$AN,40,0),""))</f>
        <v/>
      </c>
    </row>
    <row r="314" customHeight="1" spans="1:40">
      <c r="A314" s="5" t="str">
        <f>IF(Sheet1!$A314="","",Sheet1!$A314)</f>
        <v/>
      </c>
      <c r="B314" s="5" t="str">
        <f t="shared" si="20"/>
        <v/>
      </c>
      <c r="C314" s="5" t="str">
        <f>IF($A314="","",IFERROR(VLOOKUP($A314,Sheet1!$A:$AN,3,0),""))</f>
        <v/>
      </c>
      <c r="D314" s="5" t="str">
        <f t="shared" si="21"/>
        <v/>
      </c>
      <c r="I314" s="5" t="str">
        <f t="shared" si="22"/>
        <v/>
      </c>
      <c r="M314" s="5" t="str">
        <f t="shared" si="23"/>
        <v/>
      </c>
      <c r="R314" s="5" t="str">
        <f>IF($A314="","",IFERROR(VLOOKUP($A314,Sheet1!A:AN,18,0),""))</f>
        <v/>
      </c>
      <c r="S314" s="5" t="str">
        <f>IF($A314="","",IFERROR(VLOOKUP($A314,Sheet1!$A:$AN,19,0),""))</f>
        <v/>
      </c>
      <c r="T314" s="5" t="str">
        <f t="shared" si="24"/>
        <v/>
      </c>
      <c r="U314" s="5" t="str">
        <f>IF($A314="","",IFERROR(VLOOKUP($A314,Sheet1!$A:$AN,21,0),""))</f>
        <v/>
      </c>
      <c r="V314" s="5" t="str">
        <f>IF($A314="","",IFERROR(SUBSTITUTE(VLOOKUP($A314,Sheet1!$A:$AN,22,0),"族",""),""))</f>
        <v/>
      </c>
      <c r="W314" s="5" t="str">
        <f>IF($A314="","",IFERROR(VLOOKUP($A314,Sheet1!$A:$AN,23,0),""))</f>
        <v/>
      </c>
      <c r="X314" s="5" t="str">
        <f>IF($A314="","",IFERROR(VLOOKUP($A314,Sheet1!$A:$AN,24,0),""))</f>
        <v/>
      </c>
      <c r="Y314" s="5" t="str">
        <f>IF($A314="","",IFERROR(VLOOKUP($A314,Sheet1!$A:$AN,25,0),""))</f>
        <v/>
      </c>
      <c r="AK314" s="5" t="str">
        <f>IF($A314="","",IFERROR(VLOOKUP($A314,Sheet1!$A:$AN,37,0),""))</f>
        <v/>
      </c>
      <c r="AL314" s="13" t="str">
        <f>IF($A314="","",IFERROR(VLOOKUP($A314,Sheet1!$A:$AN,38,0),""))</f>
        <v/>
      </c>
      <c r="AM314" s="13" t="str">
        <f>IF($A314="","",IFERROR(VLOOKUP($A314,Sheet1!$A:$AN,39,0),""))</f>
        <v/>
      </c>
      <c r="AN314" s="13" t="str">
        <f>IF($A314="","",IFERROR(VLOOKUP($A314,Sheet1!$A:$AN,40,0),""))</f>
        <v/>
      </c>
    </row>
    <row r="315" customHeight="1" spans="1:40">
      <c r="A315" s="5" t="str">
        <f>IF(Sheet1!$A315="","",Sheet1!$A315)</f>
        <v/>
      </c>
      <c r="B315" s="5" t="str">
        <f t="shared" si="20"/>
        <v/>
      </c>
      <c r="C315" s="5" t="str">
        <f>IF($A315="","",IFERROR(VLOOKUP($A315,Sheet1!$A:$AN,3,0),""))</f>
        <v/>
      </c>
      <c r="D315" s="5" t="str">
        <f t="shared" si="21"/>
        <v/>
      </c>
      <c r="I315" s="5" t="str">
        <f t="shared" si="22"/>
        <v/>
      </c>
      <c r="M315" s="5" t="str">
        <f t="shared" si="23"/>
        <v/>
      </c>
      <c r="R315" s="5" t="str">
        <f>IF($A315="","",IFERROR(VLOOKUP($A315,Sheet1!A:AN,18,0),""))</f>
        <v/>
      </c>
      <c r="S315" s="5" t="str">
        <f>IF($A315="","",IFERROR(VLOOKUP($A315,Sheet1!$A:$AN,19,0),""))</f>
        <v/>
      </c>
      <c r="T315" s="5" t="str">
        <f t="shared" si="24"/>
        <v/>
      </c>
      <c r="U315" s="5" t="str">
        <f>IF($A315="","",IFERROR(VLOOKUP($A315,Sheet1!$A:$AN,21,0),""))</f>
        <v/>
      </c>
      <c r="V315" s="5" t="str">
        <f>IF($A315="","",IFERROR(SUBSTITUTE(VLOOKUP($A315,Sheet1!$A:$AN,22,0),"族",""),""))</f>
        <v/>
      </c>
      <c r="W315" s="5" t="str">
        <f>IF($A315="","",IFERROR(VLOOKUP($A315,Sheet1!$A:$AN,23,0),""))</f>
        <v/>
      </c>
      <c r="X315" s="5" t="str">
        <f>IF($A315="","",IFERROR(VLOOKUP($A315,Sheet1!$A:$AN,24,0),""))</f>
        <v/>
      </c>
      <c r="Y315" s="5" t="str">
        <f>IF($A315="","",IFERROR(VLOOKUP($A315,Sheet1!$A:$AN,25,0),""))</f>
        <v/>
      </c>
      <c r="AK315" s="5" t="str">
        <f>IF($A315="","",IFERROR(VLOOKUP($A315,Sheet1!$A:$AN,37,0),""))</f>
        <v/>
      </c>
      <c r="AL315" s="13" t="str">
        <f>IF($A315="","",IFERROR(VLOOKUP($A315,Sheet1!$A:$AN,38,0),""))</f>
        <v/>
      </c>
      <c r="AM315" s="13" t="str">
        <f>IF($A315="","",IFERROR(VLOOKUP($A315,Sheet1!$A:$AN,39,0),""))</f>
        <v/>
      </c>
      <c r="AN315" s="13" t="str">
        <f>IF($A315="","",IFERROR(VLOOKUP($A315,Sheet1!$A:$AN,40,0),""))</f>
        <v/>
      </c>
    </row>
    <row r="316" customHeight="1" spans="1:40">
      <c r="A316" s="5" t="str">
        <f>IF(Sheet1!$A316="","",Sheet1!$A316)</f>
        <v/>
      </c>
      <c r="B316" s="5" t="str">
        <f t="shared" si="20"/>
        <v/>
      </c>
      <c r="C316" s="5" t="str">
        <f>IF($A316="","",IFERROR(VLOOKUP($A316,Sheet1!$A:$AN,3,0),""))</f>
        <v/>
      </c>
      <c r="D316" s="5" t="str">
        <f t="shared" si="21"/>
        <v/>
      </c>
      <c r="I316" s="5" t="str">
        <f t="shared" si="22"/>
        <v/>
      </c>
      <c r="M316" s="5" t="str">
        <f t="shared" si="23"/>
        <v/>
      </c>
      <c r="R316" s="5" t="str">
        <f>IF($A316="","",IFERROR(VLOOKUP($A316,Sheet1!A:AN,18,0),""))</f>
        <v/>
      </c>
      <c r="S316" s="5" t="str">
        <f>IF($A316="","",IFERROR(VLOOKUP($A316,Sheet1!$A:$AN,19,0),""))</f>
        <v/>
      </c>
      <c r="T316" s="5" t="str">
        <f t="shared" si="24"/>
        <v/>
      </c>
      <c r="U316" s="5" t="str">
        <f>IF($A316="","",IFERROR(VLOOKUP($A316,Sheet1!$A:$AN,21,0),""))</f>
        <v/>
      </c>
      <c r="V316" s="5" t="str">
        <f>IF($A316="","",IFERROR(SUBSTITUTE(VLOOKUP($A316,Sheet1!$A:$AN,22,0),"族",""),""))</f>
        <v/>
      </c>
      <c r="W316" s="5" t="str">
        <f>IF($A316="","",IFERROR(VLOOKUP($A316,Sheet1!$A:$AN,23,0),""))</f>
        <v/>
      </c>
      <c r="X316" s="5" t="str">
        <f>IF($A316="","",IFERROR(VLOOKUP($A316,Sheet1!$A:$AN,24,0),""))</f>
        <v/>
      </c>
      <c r="Y316" s="5" t="str">
        <f>IF($A316="","",IFERROR(VLOOKUP($A316,Sheet1!$A:$AN,25,0),""))</f>
        <v/>
      </c>
      <c r="AK316" s="5" t="str">
        <f>IF($A316="","",IFERROR(VLOOKUP($A316,Sheet1!$A:$AN,37,0),""))</f>
        <v/>
      </c>
      <c r="AL316" s="13" t="str">
        <f>IF($A316="","",IFERROR(VLOOKUP($A316,Sheet1!$A:$AN,38,0),""))</f>
        <v/>
      </c>
      <c r="AM316" s="13" t="str">
        <f>IF($A316="","",IFERROR(VLOOKUP($A316,Sheet1!$A:$AN,39,0),""))</f>
        <v/>
      </c>
      <c r="AN316" s="13" t="str">
        <f>IF($A316="","",IFERROR(VLOOKUP($A316,Sheet1!$A:$AN,40,0),""))</f>
        <v/>
      </c>
    </row>
    <row r="317" customHeight="1" spans="1:40">
      <c r="A317" s="5" t="str">
        <f>IF(Sheet1!$A317="","",Sheet1!$A317)</f>
        <v/>
      </c>
      <c r="B317" s="5" t="str">
        <f t="shared" si="20"/>
        <v/>
      </c>
      <c r="C317" s="5" t="str">
        <f>IF($A317="","",IFERROR(VLOOKUP($A317,Sheet1!$A:$AN,3,0),""))</f>
        <v/>
      </c>
      <c r="D317" s="5" t="str">
        <f t="shared" si="21"/>
        <v/>
      </c>
      <c r="I317" s="5" t="str">
        <f t="shared" si="22"/>
        <v/>
      </c>
      <c r="M317" s="5" t="str">
        <f t="shared" si="23"/>
        <v/>
      </c>
      <c r="R317" s="5" t="str">
        <f>IF($A317="","",IFERROR(VLOOKUP($A317,Sheet1!A:AN,18,0),""))</f>
        <v/>
      </c>
      <c r="S317" s="5" t="str">
        <f>IF($A317="","",IFERROR(VLOOKUP($A317,Sheet1!$A:$AN,19,0),""))</f>
        <v/>
      </c>
      <c r="T317" s="5" t="str">
        <f t="shared" si="24"/>
        <v/>
      </c>
      <c r="U317" s="5" t="str">
        <f>IF($A317="","",IFERROR(VLOOKUP($A317,Sheet1!$A:$AN,21,0),""))</f>
        <v/>
      </c>
      <c r="V317" s="5" t="str">
        <f>IF($A317="","",IFERROR(SUBSTITUTE(VLOOKUP($A317,Sheet1!$A:$AN,22,0),"族",""),""))</f>
        <v/>
      </c>
      <c r="W317" s="5" t="str">
        <f>IF($A317="","",IFERROR(VLOOKUP($A317,Sheet1!$A:$AN,23,0),""))</f>
        <v/>
      </c>
      <c r="X317" s="5" t="str">
        <f>IF($A317="","",IFERROR(VLOOKUP($A317,Sheet1!$A:$AN,24,0),""))</f>
        <v/>
      </c>
      <c r="Y317" s="5" t="str">
        <f>IF($A317="","",IFERROR(VLOOKUP($A317,Sheet1!$A:$AN,25,0),""))</f>
        <v/>
      </c>
      <c r="AK317" s="5" t="str">
        <f>IF($A317="","",IFERROR(VLOOKUP($A317,Sheet1!$A:$AN,37,0),""))</f>
        <v/>
      </c>
      <c r="AL317" s="13" t="str">
        <f>IF($A317="","",IFERROR(VLOOKUP($A317,Sheet1!$A:$AN,38,0),""))</f>
        <v/>
      </c>
      <c r="AM317" s="13" t="str">
        <f>IF($A317="","",IFERROR(VLOOKUP($A317,Sheet1!$A:$AN,39,0),""))</f>
        <v/>
      </c>
      <c r="AN317" s="13" t="str">
        <f>IF($A317="","",IFERROR(VLOOKUP($A317,Sheet1!$A:$AN,40,0),""))</f>
        <v/>
      </c>
    </row>
    <row r="318" customHeight="1" spans="1:40">
      <c r="A318" s="5" t="str">
        <f>IF(Sheet1!$A318="","",Sheet1!$A318)</f>
        <v/>
      </c>
      <c r="B318" s="5" t="str">
        <f t="shared" si="20"/>
        <v/>
      </c>
      <c r="C318" s="5" t="str">
        <f>IF($A318="","",IFERROR(VLOOKUP($A318,Sheet1!$A:$AN,3,0),""))</f>
        <v/>
      </c>
      <c r="D318" s="5" t="str">
        <f t="shared" si="21"/>
        <v/>
      </c>
      <c r="I318" s="5" t="str">
        <f t="shared" si="22"/>
        <v/>
      </c>
      <c r="M318" s="5" t="str">
        <f t="shared" si="23"/>
        <v/>
      </c>
      <c r="R318" s="5" t="str">
        <f>IF($A318="","",IFERROR(VLOOKUP($A318,Sheet1!A:AN,18,0),""))</f>
        <v/>
      </c>
      <c r="S318" s="5" t="str">
        <f>IF($A318="","",IFERROR(VLOOKUP($A318,Sheet1!$A:$AN,19,0),""))</f>
        <v/>
      </c>
      <c r="T318" s="5" t="str">
        <f t="shared" si="24"/>
        <v/>
      </c>
      <c r="U318" s="5" t="str">
        <f>IF($A318="","",IFERROR(VLOOKUP($A318,Sheet1!$A:$AN,21,0),""))</f>
        <v/>
      </c>
      <c r="V318" s="5" t="str">
        <f>IF($A318="","",IFERROR(SUBSTITUTE(VLOOKUP($A318,Sheet1!$A:$AN,22,0),"族",""),""))</f>
        <v/>
      </c>
      <c r="W318" s="5" t="str">
        <f>IF($A318="","",IFERROR(VLOOKUP($A318,Sheet1!$A:$AN,23,0),""))</f>
        <v/>
      </c>
      <c r="X318" s="5" t="str">
        <f>IF($A318="","",IFERROR(VLOOKUP($A318,Sheet1!$A:$AN,24,0),""))</f>
        <v/>
      </c>
      <c r="Y318" s="5" t="str">
        <f>IF($A318="","",IFERROR(VLOOKUP($A318,Sheet1!$A:$AN,25,0),""))</f>
        <v/>
      </c>
      <c r="AK318" s="5" t="str">
        <f>IF($A318="","",IFERROR(VLOOKUP($A318,Sheet1!$A:$AN,37,0),""))</f>
        <v/>
      </c>
      <c r="AL318" s="13" t="str">
        <f>IF($A318="","",IFERROR(VLOOKUP($A318,Sheet1!$A:$AN,38,0),""))</f>
        <v/>
      </c>
      <c r="AM318" s="13" t="str">
        <f>IF($A318="","",IFERROR(VLOOKUP($A318,Sheet1!$A:$AN,39,0),""))</f>
        <v/>
      </c>
      <c r="AN318" s="13" t="str">
        <f>IF($A318="","",IFERROR(VLOOKUP($A318,Sheet1!$A:$AN,40,0),""))</f>
        <v/>
      </c>
    </row>
    <row r="319" customHeight="1" spans="1:40">
      <c r="A319" s="5" t="str">
        <f>IF(Sheet1!$A319="","",Sheet1!$A319)</f>
        <v/>
      </c>
      <c r="B319" s="5" t="str">
        <f t="shared" si="20"/>
        <v/>
      </c>
      <c r="C319" s="5" t="str">
        <f>IF($A319="","",IFERROR(VLOOKUP($A319,Sheet1!$A:$AN,3,0),""))</f>
        <v/>
      </c>
      <c r="D319" s="5" t="str">
        <f t="shared" si="21"/>
        <v/>
      </c>
      <c r="I319" s="5" t="str">
        <f t="shared" si="22"/>
        <v/>
      </c>
      <c r="M319" s="5" t="str">
        <f t="shared" si="23"/>
        <v/>
      </c>
      <c r="R319" s="5" t="str">
        <f>IF($A319="","",IFERROR(VLOOKUP($A319,Sheet1!A:AN,18,0),""))</f>
        <v/>
      </c>
      <c r="S319" s="5" t="str">
        <f>IF($A319="","",IFERROR(VLOOKUP($A319,Sheet1!$A:$AN,19,0),""))</f>
        <v/>
      </c>
      <c r="T319" s="5" t="str">
        <f t="shared" si="24"/>
        <v/>
      </c>
      <c r="U319" s="5" t="str">
        <f>IF($A319="","",IFERROR(VLOOKUP($A319,Sheet1!$A:$AN,21,0),""))</f>
        <v/>
      </c>
      <c r="V319" s="5" t="str">
        <f>IF($A319="","",IFERROR(SUBSTITUTE(VLOOKUP($A319,Sheet1!$A:$AN,22,0),"族",""),""))</f>
        <v/>
      </c>
      <c r="W319" s="5" t="str">
        <f>IF($A319="","",IFERROR(VLOOKUP($A319,Sheet1!$A:$AN,23,0),""))</f>
        <v/>
      </c>
      <c r="X319" s="5" t="str">
        <f>IF($A319="","",IFERROR(VLOOKUP($A319,Sheet1!$A:$AN,24,0),""))</f>
        <v/>
      </c>
      <c r="Y319" s="5" t="str">
        <f>IF($A319="","",IFERROR(VLOOKUP($A319,Sheet1!$A:$AN,25,0),""))</f>
        <v/>
      </c>
      <c r="AK319" s="5" t="str">
        <f>IF($A319="","",IFERROR(VLOOKUP($A319,Sheet1!$A:$AN,37,0),""))</f>
        <v/>
      </c>
      <c r="AL319" s="13" t="str">
        <f>IF($A319="","",IFERROR(VLOOKUP($A319,Sheet1!$A:$AN,38,0),""))</f>
        <v/>
      </c>
      <c r="AM319" s="13" t="str">
        <f>IF($A319="","",IFERROR(VLOOKUP($A319,Sheet1!$A:$AN,39,0),""))</f>
        <v/>
      </c>
      <c r="AN319" s="13" t="str">
        <f>IF($A319="","",IFERROR(VLOOKUP($A319,Sheet1!$A:$AN,40,0),""))</f>
        <v/>
      </c>
    </row>
    <row r="320" customHeight="1" spans="1:40">
      <c r="A320" s="5" t="str">
        <f>IF(Sheet1!$A320="","",Sheet1!$A320)</f>
        <v/>
      </c>
      <c r="B320" s="5" t="str">
        <f t="shared" si="20"/>
        <v/>
      </c>
      <c r="C320" s="5" t="str">
        <f>IF($A320="","",IFERROR(VLOOKUP($A320,Sheet1!$A:$AN,3,0),""))</f>
        <v/>
      </c>
      <c r="D320" s="5" t="str">
        <f t="shared" si="21"/>
        <v/>
      </c>
      <c r="I320" s="5" t="str">
        <f t="shared" si="22"/>
        <v/>
      </c>
      <c r="M320" s="5" t="str">
        <f t="shared" si="23"/>
        <v/>
      </c>
      <c r="R320" s="5" t="str">
        <f>IF($A320="","",IFERROR(VLOOKUP($A320,Sheet1!A:AN,18,0),""))</f>
        <v/>
      </c>
      <c r="S320" s="5" t="str">
        <f>IF($A320="","",IFERROR(VLOOKUP($A320,Sheet1!$A:$AN,19,0),""))</f>
        <v/>
      </c>
      <c r="T320" s="5" t="str">
        <f t="shared" si="24"/>
        <v/>
      </c>
      <c r="U320" s="5" t="str">
        <f>IF($A320="","",IFERROR(VLOOKUP($A320,Sheet1!$A:$AN,21,0),""))</f>
        <v/>
      </c>
      <c r="V320" s="5" t="str">
        <f>IF($A320="","",IFERROR(SUBSTITUTE(VLOOKUP($A320,Sheet1!$A:$AN,22,0),"族",""),""))</f>
        <v/>
      </c>
      <c r="W320" s="5" t="str">
        <f>IF($A320="","",IFERROR(VLOOKUP($A320,Sheet1!$A:$AN,23,0),""))</f>
        <v/>
      </c>
      <c r="X320" s="5" t="str">
        <f>IF($A320="","",IFERROR(VLOOKUP($A320,Sheet1!$A:$AN,24,0),""))</f>
        <v/>
      </c>
      <c r="Y320" s="5" t="str">
        <f>IF($A320="","",IFERROR(VLOOKUP($A320,Sheet1!$A:$AN,25,0),""))</f>
        <v/>
      </c>
      <c r="AK320" s="5" t="str">
        <f>IF($A320="","",IFERROR(VLOOKUP($A320,Sheet1!$A:$AN,37,0),""))</f>
        <v/>
      </c>
      <c r="AL320" s="13" t="str">
        <f>IF($A320="","",IFERROR(VLOOKUP($A320,Sheet1!$A:$AN,38,0),""))</f>
        <v/>
      </c>
      <c r="AM320" s="13" t="str">
        <f>IF($A320="","",IFERROR(VLOOKUP($A320,Sheet1!$A:$AN,39,0),""))</f>
        <v/>
      </c>
      <c r="AN320" s="13" t="str">
        <f>IF($A320="","",IFERROR(VLOOKUP($A320,Sheet1!$A:$AN,40,0),""))</f>
        <v/>
      </c>
    </row>
    <row r="321" customHeight="1" spans="1:40">
      <c r="A321" s="5" t="str">
        <f>IF(Sheet1!$A321="","",Sheet1!$A321)</f>
        <v/>
      </c>
      <c r="B321" s="5" t="str">
        <f t="shared" si="20"/>
        <v/>
      </c>
      <c r="C321" s="5" t="str">
        <f>IF($A321="","",IFERROR(VLOOKUP($A321,Sheet1!$A:$AN,3,0),""))</f>
        <v/>
      </c>
      <c r="D321" s="5" t="str">
        <f t="shared" si="21"/>
        <v/>
      </c>
      <c r="I321" s="5" t="str">
        <f t="shared" si="22"/>
        <v/>
      </c>
      <c r="M321" s="5" t="str">
        <f t="shared" si="23"/>
        <v/>
      </c>
      <c r="R321" s="5" t="str">
        <f>IF($A321="","",IFERROR(VLOOKUP($A321,Sheet1!A:AN,18,0),""))</f>
        <v/>
      </c>
      <c r="S321" s="5" t="str">
        <f>IF($A321="","",IFERROR(VLOOKUP($A321,Sheet1!$A:$AN,19,0),""))</f>
        <v/>
      </c>
      <c r="T321" s="5" t="str">
        <f t="shared" si="24"/>
        <v/>
      </c>
      <c r="U321" s="5" t="str">
        <f>IF($A321="","",IFERROR(VLOOKUP($A321,Sheet1!$A:$AN,21,0),""))</f>
        <v/>
      </c>
      <c r="V321" s="5" t="str">
        <f>IF($A321="","",IFERROR(SUBSTITUTE(VLOOKUP($A321,Sheet1!$A:$AN,22,0),"族",""),""))</f>
        <v/>
      </c>
      <c r="W321" s="5" t="str">
        <f>IF($A321="","",IFERROR(VLOOKUP($A321,Sheet1!$A:$AN,23,0),""))</f>
        <v/>
      </c>
      <c r="X321" s="5" t="str">
        <f>IF($A321="","",IFERROR(VLOOKUP($A321,Sheet1!$A:$AN,24,0),""))</f>
        <v/>
      </c>
      <c r="Y321" s="5" t="str">
        <f>IF($A321="","",IFERROR(VLOOKUP($A321,Sheet1!$A:$AN,25,0),""))</f>
        <v/>
      </c>
      <c r="AK321" s="5" t="str">
        <f>IF($A321="","",IFERROR(VLOOKUP($A321,Sheet1!$A:$AN,37,0),""))</f>
        <v/>
      </c>
      <c r="AL321" s="13" t="str">
        <f>IF($A321="","",IFERROR(VLOOKUP($A321,Sheet1!$A:$AN,38,0),""))</f>
        <v/>
      </c>
      <c r="AM321" s="13" t="str">
        <f>IF($A321="","",IFERROR(VLOOKUP($A321,Sheet1!$A:$AN,39,0),""))</f>
        <v/>
      </c>
      <c r="AN321" s="13" t="str">
        <f>IF($A321="","",IFERROR(VLOOKUP($A321,Sheet1!$A:$AN,40,0),""))</f>
        <v/>
      </c>
    </row>
    <row r="322" customHeight="1" spans="1:40">
      <c r="A322" s="5" t="str">
        <f>IF(Sheet1!$A322="","",Sheet1!$A322)</f>
        <v/>
      </c>
      <c r="B322" s="5" t="str">
        <f t="shared" si="20"/>
        <v/>
      </c>
      <c r="C322" s="5" t="str">
        <f>IF($A322="","",IFERROR(VLOOKUP($A322,Sheet1!$A:$AN,3,0),""))</f>
        <v/>
      </c>
      <c r="D322" s="5" t="str">
        <f t="shared" si="21"/>
        <v/>
      </c>
      <c r="I322" s="5" t="str">
        <f t="shared" si="22"/>
        <v/>
      </c>
      <c r="M322" s="5" t="str">
        <f t="shared" si="23"/>
        <v/>
      </c>
      <c r="R322" s="5" t="str">
        <f>IF($A322="","",IFERROR(VLOOKUP($A322,Sheet1!A:AN,18,0),""))</f>
        <v/>
      </c>
      <c r="S322" s="5" t="str">
        <f>IF($A322="","",IFERROR(VLOOKUP($A322,Sheet1!$A:$AN,19,0),""))</f>
        <v/>
      </c>
      <c r="T322" s="5" t="str">
        <f t="shared" si="24"/>
        <v/>
      </c>
      <c r="U322" s="5" t="str">
        <f>IF($A322="","",IFERROR(VLOOKUP($A322,Sheet1!$A:$AN,21,0),""))</f>
        <v/>
      </c>
      <c r="V322" s="5" t="str">
        <f>IF($A322="","",IFERROR(SUBSTITUTE(VLOOKUP($A322,Sheet1!$A:$AN,22,0),"族",""),""))</f>
        <v/>
      </c>
      <c r="W322" s="5" t="str">
        <f>IF($A322="","",IFERROR(VLOOKUP($A322,Sheet1!$A:$AN,23,0),""))</f>
        <v/>
      </c>
      <c r="X322" s="5" t="str">
        <f>IF($A322="","",IFERROR(VLOOKUP($A322,Sheet1!$A:$AN,24,0),""))</f>
        <v/>
      </c>
      <c r="Y322" s="5" t="str">
        <f>IF($A322="","",IFERROR(VLOOKUP($A322,Sheet1!$A:$AN,25,0),""))</f>
        <v/>
      </c>
      <c r="AK322" s="5" t="str">
        <f>IF($A322="","",IFERROR(VLOOKUP($A322,Sheet1!$A:$AN,37,0),""))</f>
        <v/>
      </c>
      <c r="AL322" s="13" t="str">
        <f>IF($A322="","",IFERROR(VLOOKUP($A322,Sheet1!$A:$AN,38,0),""))</f>
        <v/>
      </c>
      <c r="AM322" s="13" t="str">
        <f>IF($A322="","",IFERROR(VLOOKUP($A322,Sheet1!$A:$AN,39,0),""))</f>
        <v/>
      </c>
      <c r="AN322" s="13" t="str">
        <f>IF($A322="","",IFERROR(VLOOKUP($A322,Sheet1!$A:$AN,40,0),""))</f>
        <v/>
      </c>
    </row>
    <row r="323" customHeight="1" spans="1:40">
      <c r="A323" s="5" t="str">
        <f>IF(Sheet1!$A323="","",Sheet1!$A323)</f>
        <v/>
      </c>
      <c r="B323" s="5" t="str">
        <f t="shared" ref="B323:B386" si="25">IF($A323="","","企业")</f>
        <v/>
      </c>
      <c r="C323" s="5" t="str">
        <f>IF($A323="","",IFERROR(VLOOKUP($A323,Sheet1!$A:$AN,3,0),""))</f>
        <v/>
      </c>
      <c r="D323" s="5" t="str">
        <f t="shared" ref="D323:D386" si="26">IF($C323="","","营业执照")</f>
        <v/>
      </c>
      <c r="I323" s="5" t="str">
        <f t="shared" ref="I323:I386" si="27">IF($C323="","","身份证")</f>
        <v/>
      </c>
      <c r="M323" s="5" t="str">
        <f t="shared" ref="M323:M386" si="28">IF($C323="","","自然人")</f>
        <v/>
      </c>
      <c r="R323" s="5" t="str">
        <f>IF($A323="","",IFERROR(VLOOKUP($A323,Sheet1!A:AN,18,0),""))</f>
        <v/>
      </c>
      <c r="S323" s="5" t="str">
        <f>IF($A323="","",IFERROR(VLOOKUP($A323,Sheet1!$A:$AN,19,0),""))</f>
        <v/>
      </c>
      <c r="T323" s="5" t="str">
        <f t="shared" ref="T323:T386" si="29">IF($S323="","","身份证")</f>
        <v/>
      </c>
      <c r="U323" s="5" t="str">
        <f>IF($A323="","",IFERROR(VLOOKUP($A323,Sheet1!$A:$AN,21,0),""))</f>
        <v/>
      </c>
      <c r="V323" s="5" t="str">
        <f>IF($A323="","",IFERROR(SUBSTITUTE(VLOOKUP($A323,Sheet1!$A:$AN,22,0),"族",""),""))</f>
        <v/>
      </c>
      <c r="W323" s="5" t="str">
        <f>IF($A323="","",IFERROR(VLOOKUP($A323,Sheet1!$A:$AN,23,0),""))</f>
        <v/>
      </c>
      <c r="X323" s="5" t="str">
        <f>IF($A323="","",IFERROR(VLOOKUP($A323,Sheet1!$A:$AN,24,0),""))</f>
        <v/>
      </c>
      <c r="Y323" s="5" t="str">
        <f>IF($A323="","",IFERROR(VLOOKUP($A323,Sheet1!$A:$AN,25,0),""))</f>
        <v/>
      </c>
      <c r="AK323" s="5" t="str">
        <f>IF($A323="","",IFERROR(VLOOKUP($A323,Sheet1!$A:$AN,37,0),""))</f>
        <v/>
      </c>
      <c r="AL323" s="13" t="str">
        <f>IF($A323="","",IFERROR(VLOOKUP($A323,Sheet1!$A:$AN,38,0),""))</f>
        <v/>
      </c>
      <c r="AM323" s="13" t="str">
        <f>IF($A323="","",IFERROR(VLOOKUP($A323,Sheet1!$A:$AN,39,0),""))</f>
        <v/>
      </c>
      <c r="AN323" s="13" t="str">
        <f>IF($A323="","",IFERROR(VLOOKUP($A323,Sheet1!$A:$AN,40,0),""))</f>
        <v/>
      </c>
    </row>
    <row r="324" customHeight="1" spans="1:40">
      <c r="A324" s="5" t="str">
        <f>IF(Sheet1!$A324="","",Sheet1!$A324)</f>
        <v/>
      </c>
      <c r="B324" s="5" t="str">
        <f t="shared" si="25"/>
        <v/>
      </c>
      <c r="C324" s="5" t="str">
        <f>IF($A324="","",IFERROR(VLOOKUP($A324,Sheet1!$A:$AN,3,0),""))</f>
        <v/>
      </c>
      <c r="D324" s="5" t="str">
        <f t="shared" si="26"/>
        <v/>
      </c>
      <c r="I324" s="5" t="str">
        <f t="shared" si="27"/>
        <v/>
      </c>
      <c r="M324" s="5" t="str">
        <f t="shared" si="28"/>
        <v/>
      </c>
      <c r="R324" s="5" t="str">
        <f>IF($A324="","",IFERROR(VLOOKUP($A324,Sheet1!A:AN,18,0),""))</f>
        <v/>
      </c>
      <c r="S324" s="5" t="str">
        <f>IF($A324="","",IFERROR(VLOOKUP($A324,Sheet1!$A:$AN,19,0),""))</f>
        <v/>
      </c>
      <c r="T324" s="5" t="str">
        <f t="shared" si="29"/>
        <v/>
      </c>
      <c r="U324" s="5" t="str">
        <f>IF($A324="","",IFERROR(VLOOKUP($A324,Sheet1!$A:$AN,21,0),""))</f>
        <v/>
      </c>
      <c r="V324" s="5" t="str">
        <f>IF($A324="","",IFERROR(SUBSTITUTE(VLOOKUP($A324,Sheet1!$A:$AN,22,0),"族",""),""))</f>
        <v/>
      </c>
      <c r="W324" s="5" t="str">
        <f>IF($A324="","",IFERROR(VLOOKUP($A324,Sheet1!$A:$AN,23,0),""))</f>
        <v/>
      </c>
      <c r="X324" s="5" t="str">
        <f>IF($A324="","",IFERROR(VLOOKUP($A324,Sheet1!$A:$AN,24,0),""))</f>
        <v/>
      </c>
      <c r="Y324" s="5" t="str">
        <f>IF($A324="","",IFERROR(VLOOKUP($A324,Sheet1!$A:$AN,25,0),""))</f>
        <v/>
      </c>
      <c r="AK324" s="5" t="str">
        <f>IF($A324="","",IFERROR(VLOOKUP($A324,Sheet1!$A:$AN,37,0),""))</f>
        <v/>
      </c>
      <c r="AL324" s="13" t="str">
        <f>IF($A324="","",IFERROR(VLOOKUP($A324,Sheet1!$A:$AN,38,0),""))</f>
        <v/>
      </c>
      <c r="AM324" s="13" t="str">
        <f>IF($A324="","",IFERROR(VLOOKUP($A324,Sheet1!$A:$AN,39,0),""))</f>
        <v/>
      </c>
      <c r="AN324" s="13" t="str">
        <f>IF($A324="","",IFERROR(VLOOKUP($A324,Sheet1!$A:$AN,40,0),""))</f>
        <v/>
      </c>
    </row>
    <row r="325" customHeight="1" spans="1:40">
      <c r="A325" s="5" t="str">
        <f>IF(Sheet1!$A325="","",Sheet1!$A325)</f>
        <v/>
      </c>
      <c r="B325" s="5" t="str">
        <f t="shared" si="25"/>
        <v/>
      </c>
      <c r="C325" s="5" t="str">
        <f>IF($A325="","",IFERROR(VLOOKUP($A325,Sheet1!$A:$AN,3,0),""))</f>
        <v/>
      </c>
      <c r="D325" s="5" t="str">
        <f t="shared" si="26"/>
        <v/>
      </c>
      <c r="I325" s="5" t="str">
        <f t="shared" si="27"/>
        <v/>
      </c>
      <c r="M325" s="5" t="str">
        <f t="shared" si="28"/>
        <v/>
      </c>
      <c r="R325" s="5" t="str">
        <f>IF($A325="","",IFERROR(VLOOKUP($A325,Sheet1!A:AN,18,0),""))</f>
        <v/>
      </c>
      <c r="S325" s="5" t="str">
        <f>IF($A325="","",IFERROR(VLOOKUP($A325,Sheet1!$A:$AN,19,0),""))</f>
        <v/>
      </c>
      <c r="T325" s="5" t="str">
        <f t="shared" si="29"/>
        <v/>
      </c>
      <c r="U325" s="5" t="str">
        <f>IF($A325="","",IFERROR(VLOOKUP($A325,Sheet1!$A:$AN,21,0),""))</f>
        <v/>
      </c>
      <c r="V325" s="5" t="str">
        <f>IF($A325="","",IFERROR(SUBSTITUTE(VLOOKUP($A325,Sheet1!$A:$AN,22,0),"族",""),""))</f>
        <v/>
      </c>
      <c r="W325" s="5" t="str">
        <f>IF($A325="","",IFERROR(VLOOKUP($A325,Sheet1!$A:$AN,23,0),""))</f>
        <v/>
      </c>
      <c r="X325" s="5" t="str">
        <f>IF($A325="","",IFERROR(VLOOKUP($A325,Sheet1!$A:$AN,24,0),""))</f>
        <v/>
      </c>
      <c r="Y325" s="5" t="str">
        <f>IF($A325="","",IFERROR(VLOOKUP($A325,Sheet1!$A:$AN,25,0),""))</f>
        <v/>
      </c>
      <c r="AK325" s="5" t="str">
        <f>IF($A325="","",IFERROR(VLOOKUP($A325,Sheet1!$A:$AN,37,0),""))</f>
        <v/>
      </c>
      <c r="AL325" s="13" t="str">
        <f>IF($A325="","",IFERROR(VLOOKUP($A325,Sheet1!$A:$AN,38,0),""))</f>
        <v/>
      </c>
      <c r="AM325" s="13" t="str">
        <f>IF($A325="","",IFERROR(VLOOKUP($A325,Sheet1!$A:$AN,39,0),""))</f>
        <v/>
      </c>
      <c r="AN325" s="13" t="str">
        <f>IF($A325="","",IFERROR(VLOOKUP($A325,Sheet1!$A:$AN,40,0),""))</f>
        <v/>
      </c>
    </row>
    <row r="326" customHeight="1" spans="1:40">
      <c r="A326" s="5" t="str">
        <f>IF(Sheet1!$A326="","",Sheet1!$A326)</f>
        <v/>
      </c>
      <c r="B326" s="5" t="str">
        <f t="shared" si="25"/>
        <v/>
      </c>
      <c r="C326" s="5" t="str">
        <f>IF($A326="","",IFERROR(VLOOKUP($A326,Sheet1!$A:$AN,3,0),""))</f>
        <v/>
      </c>
      <c r="D326" s="5" t="str">
        <f t="shared" si="26"/>
        <v/>
      </c>
      <c r="I326" s="5" t="str">
        <f t="shared" si="27"/>
        <v/>
      </c>
      <c r="M326" s="5" t="str">
        <f t="shared" si="28"/>
        <v/>
      </c>
      <c r="R326" s="5" t="str">
        <f>IF($A326="","",IFERROR(VLOOKUP($A326,Sheet1!A:AN,18,0),""))</f>
        <v/>
      </c>
      <c r="S326" s="5" t="str">
        <f>IF($A326="","",IFERROR(VLOOKUP($A326,Sheet1!$A:$AN,19,0),""))</f>
        <v/>
      </c>
      <c r="T326" s="5" t="str">
        <f t="shared" si="29"/>
        <v/>
      </c>
      <c r="U326" s="5" t="str">
        <f>IF($A326="","",IFERROR(VLOOKUP($A326,Sheet1!$A:$AN,21,0),""))</f>
        <v/>
      </c>
      <c r="V326" s="5" t="str">
        <f>IF($A326="","",IFERROR(SUBSTITUTE(VLOOKUP($A326,Sheet1!$A:$AN,22,0),"族",""),""))</f>
        <v/>
      </c>
      <c r="W326" s="5" t="str">
        <f>IF($A326="","",IFERROR(VLOOKUP($A326,Sheet1!$A:$AN,23,0),""))</f>
        <v/>
      </c>
      <c r="X326" s="5" t="str">
        <f>IF($A326="","",IFERROR(VLOOKUP($A326,Sheet1!$A:$AN,24,0),""))</f>
        <v/>
      </c>
      <c r="Y326" s="5" t="str">
        <f>IF($A326="","",IFERROR(VLOOKUP($A326,Sheet1!$A:$AN,25,0),""))</f>
        <v/>
      </c>
      <c r="AK326" s="5" t="str">
        <f>IF($A326="","",IFERROR(VLOOKUP($A326,Sheet1!$A:$AN,37,0),""))</f>
        <v/>
      </c>
      <c r="AL326" s="13" t="str">
        <f>IF($A326="","",IFERROR(VLOOKUP($A326,Sheet1!$A:$AN,38,0),""))</f>
        <v/>
      </c>
      <c r="AM326" s="13" t="str">
        <f>IF($A326="","",IFERROR(VLOOKUP($A326,Sheet1!$A:$AN,39,0),""))</f>
        <v/>
      </c>
      <c r="AN326" s="13" t="str">
        <f>IF($A326="","",IFERROR(VLOOKUP($A326,Sheet1!$A:$AN,40,0),""))</f>
        <v/>
      </c>
    </row>
    <row r="327" customHeight="1" spans="1:40">
      <c r="A327" s="5" t="str">
        <f>IF(Sheet1!$A327="","",Sheet1!$A327)</f>
        <v/>
      </c>
      <c r="B327" s="5" t="str">
        <f t="shared" si="25"/>
        <v/>
      </c>
      <c r="C327" s="5" t="str">
        <f>IF($A327="","",IFERROR(VLOOKUP($A327,Sheet1!$A:$AN,3,0),""))</f>
        <v/>
      </c>
      <c r="D327" s="5" t="str">
        <f t="shared" si="26"/>
        <v/>
      </c>
      <c r="I327" s="5" t="str">
        <f t="shared" si="27"/>
        <v/>
      </c>
      <c r="M327" s="5" t="str">
        <f t="shared" si="28"/>
        <v/>
      </c>
      <c r="R327" s="5" t="str">
        <f>IF($A327="","",IFERROR(VLOOKUP($A327,Sheet1!A:AN,18,0),""))</f>
        <v/>
      </c>
      <c r="S327" s="5" t="str">
        <f>IF($A327="","",IFERROR(VLOOKUP($A327,Sheet1!$A:$AN,19,0),""))</f>
        <v/>
      </c>
      <c r="T327" s="5" t="str">
        <f t="shared" si="29"/>
        <v/>
      </c>
      <c r="U327" s="5" t="str">
        <f>IF($A327="","",IFERROR(VLOOKUP($A327,Sheet1!$A:$AN,21,0),""))</f>
        <v/>
      </c>
      <c r="V327" s="5" t="str">
        <f>IF($A327="","",IFERROR(SUBSTITUTE(VLOOKUP($A327,Sheet1!$A:$AN,22,0),"族",""),""))</f>
        <v/>
      </c>
      <c r="W327" s="5" t="str">
        <f>IF($A327="","",IFERROR(VLOOKUP($A327,Sheet1!$A:$AN,23,0),""))</f>
        <v/>
      </c>
      <c r="X327" s="5" t="str">
        <f>IF($A327="","",IFERROR(VLOOKUP($A327,Sheet1!$A:$AN,24,0),""))</f>
        <v/>
      </c>
      <c r="Y327" s="5" t="str">
        <f>IF($A327="","",IFERROR(VLOOKUP($A327,Sheet1!$A:$AN,25,0),""))</f>
        <v/>
      </c>
      <c r="AK327" s="5" t="str">
        <f>IF($A327="","",IFERROR(VLOOKUP($A327,Sheet1!$A:$AN,37,0),""))</f>
        <v/>
      </c>
      <c r="AL327" s="13" t="str">
        <f>IF($A327="","",IFERROR(VLOOKUP($A327,Sheet1!$A:$AN,38,0),""))</f>
        <v/>
      </c>
      <c r="AM327" s="13" t="str">
        <f>IF($A327="","",IFERROR(VLOOKUP($A327,Sheet1!$A:$AN,39,0),""))</f>
        <v/>
      </c>
      <c r="AN327" s="13" t="str">
        <f>IF($A327="","",IFERROR(VLOOKUP($A327,Sheet1!$A:$AN,40,0),""))</f>
        <v/>
      </c>
    </row>
    <row r="328" customHeight="1" spans="1:40">
      <c r="A328" s="5" t="str">
        <f>IF(Sheet1!$A328="","",Sheet1!$A328)</f>
        <v/>
      </c>
      <c r="B328" s="5" t="str">
        <f t="shared" si="25"/>
        <v/>
      </c>
      <c r="C328" s="5" t="str">
        <f>IF($A328="","",IFERROR(VLOOKUP($A328,Sheet1!$A:$AN,3,0),""))</f>
        <v/>
      </c>
      <c r="D328" s="5" t="str">
        <f t="shared" si="26"/>
        <v/>
      </c>
      <c r="I328" s="5" t="str">
        <f t="shared" si="27"/>
        <v/>
      </c>
      <c r="M328" s="5" t="str">
        <f t="shared" si="28"/>
        <v/>
      </c>
      <c r="R328" s="5" t="str">
        <f>IF($A328="","",IFERROR(VLOOKUP($A328,Sheet1!A:AN,18,0),""))</f>
        <v/>
      </c>
      <c r="S328" s="5" t="str">
        <f>IF($A328="","",IFERROR(VLOOKUP($A328,Sheet1!$A:$AN,19,0),""))</f>
        <v/>
      </c>
      <c r="T328" s="5" t="str">
        <f t="shared" si="29"/>
        <v/>
      </c>
      <c r="U328" s="5" t="str">
        <f>IF($A328="","",IFERROR(VLOOKUP($A328,Sheet1!$A:$AN,21,0),""))</f>
        <v/>
      </c>
      <c r="V328" s="5" t="str">
        <f>IF($A328="","",IFERROR(SUBSTITUTE(VLOOKUP($A328,Sheet1!$A:$AN,22,0),"族",""),""))</f>
        <v/>
      </c>
      <c r="W328" s="5" t="str">
        <f>IF($A328="","",IFERROR(VLOOKUP($A328,Sheet1!$A:$AN,23,0),""))</f>
        <v/>
      </c>
      <c r="X328" s="5" t="str">
        <f>IF($A328="","",IFERROR(VLOOKUP($A328,Sheet1!$A:$AN,24,0),""))</f>
        <v/>
      </c>
      <c r="Y328" s="5" t="str">
        <f>IF($A328="","",IFERROR(VLOOKUP($A328,Sheet1!$A:$AN,25,0),""))</f>
        <v/>
      </c>
      <c r="AK328" s="5" t="str">
        <f>IF($A328="","",IFERROR(VLOOKUP($A328,Sheet1!$A:$AN,37,0),""))</f>
        <v/>
      </c>
      <c r="AL328" s="13" t="str">
        <f>IF($A328="","",IFERROR(VLOOKUP($A328,Sheet1!$A:$AN,38,0),""))</f>
        <v/>
      </c>
      <c r="AM328" s="13" t="str">
        <f>IF($A328="","",IFERROR(VLOOKUP($A328,Sheet1!$A:$AN,39,0),""))</f>
        <v/>
      </c>
      <c r="AN328" s="13" t="str">
        <f>IF($A328="","",IFERROR(VLOOKUP($A328,Sheet1!$A:$AN,40,0),""))</f>
        <v/>
      </c>
    </row>
    <row r="329" customHeight="1" spans="1:40">
      <c r="A329" s="5" t="str">
        <f>IF(Sheet1!$A329="","",Sheet1!$A329)</f>
        <v/>
      </c>
      <c r="B329" s="5" t="str">
        <f t="shared" si="25"/>
        <v/>
      </c>
      <c r="C329" s="5" t="str">
        <f>IF($A329="","",IFERROR(VLOOKUP($A329,Sheet1!$A:$AN,3,0),""))</f>
        <v/>
      </c>
      <c r="D329" s="5" t="str">
        <f t="shared" si="26"/>
        <v/>
      </c>
      <c r="I329" s="5" t="str">
        <f t="shared" si="27"/>
        <v/>
      </c>
      <c r="M329" s="5" t="str">
        <f t="shared" si="28"/>
        <v/>
      </c>
      <c r="R329" s="5" t="str">
        <f>IF($A329="","",IFERROR(VLOOKUP($A329,Sheet1!A:AN,18,0),""))</f>
        <v/>
      </c>
      <c r="S329" s="5" t="str">
        <f>IF($A329="","",IFERROR(VLOOKUP($A329,Sheet1!$A:$AN,19,0),""))</f>
        <v/>
      </c>
      <c r="T329" s="5" t="str">
        <f t="shared" si="29"/>
        <v/>
      </c>
      <c r="U329" s="5" t="str">
        <f>IF($A329="","",IFERROR(VLOOKUP($A329,Sheet1!$A:$AN,21,0),""))</f>
        <v/>
      </c>
      <c r="V329" s="5" t="str">
        <f>IF($A329="","",IFERROR(SUBSTITUTE(VLOOKUP($A329,Sheet1!$A:$AN,22,0),"族",""),""))</f>
        <v/>
      </c>
      <c r="W329" s="5" t="str">
        <f>IF($A329="","",IFERROR(VLOOKUP($A329,Sheet1!$A:$AN,23,0),""))</f>
        <v/>
      </c>
      <c r="X329" s="5" t="str">
        <f>IF($A329="","",IFERROR(VLOOKUP($A329,Sheet1!$A:$AN,24,0),""))</f>
        <v/>
      </c>
      <c r="Y329" s="5" t="str">
        <f>IF($A329="","",IFERROR(VLOOKUP($A329,Sheet1!$A:$AN,25,0),""))</f>
        <v/>
      </c>
      <c r="AK329" s="5" t="str">
        <f>IF($A329="","",IFERROR(VLOOKUP($A329,Sheet1!$A:$AN,37,0),""))</f>
        <v/>
      </c>
      <c r="AL329" s="13" t="str">
        <f>IF($A329="","",IFERROR(VLOOKUP($A329,Sheet1!$A:$AN,38,0),""))</f>
        <v/>
      </c>
      <c r="AM329" s="13" t="str">
        <f>IF($A329="","",IFERROR(VLOOKUP($A329,Sheet1!$A:$AN,39,0),""))</f>
        <v/>
      </c>
      <c r="AN329" s="13" t="str">
        <f>IF($A329="","",IFERROR(VLOOKUP($A329,Sheet1!$A:$AN,40,0),""))</f>
        <v/>
      </c>
    </row>
    <row r="330" customHeight="1" spans="1:40">
      <c r="A330" s="5" t="str">
        <f>IF(Sheet1!$A330="","",Sheet1!$A330)</f>
        <v/>
      </c>
      <c r="B330" s="5" t="str">
        <f t="shared" si="25"/>
        <v/>
      </c>
      <c r="C330" s="5" t="str">
        <f>IF($A330="","",IFERROR(VLOOKUP($A330,Sheet1!$A:$AN,3,0),""))</f>
        <v/>
      </c>
      <c r="D330" s="5" t="str">
        <f t="shared" si="26"/>
        <v/>
      </c>
      <c r="I330" s="5" t="str">
        <f t="shared" si="27"/>
        <v/>
      </c>
      <c r="M330" s="5" t="str">
        <f t="shared" si="28"/>
        <v/>
      </c>
      <c r="R330" s="5" t="str">
        <f>IF($A330="","",IFERROR(VLOOKUP($A330,Sheet1!A:AN,18,0),""))</f>
        <v/>
      </c>
      <c r="S330" s="5" t="str">
        <f>IF($A330="","",IFERROR(VLOOKUP($A330,Sheet1!$A:$AN,19,0),""))</f>
        <v/>
      </c>
      <c r="T330" s="5" t="str">
        <f t="shared" si="29"/>
        <v/>
      </c>
      <c r="U330" s="5" t="str">
        <f>IF($A330="","",IFERROR(VLOOKUP($A330,Sheet1!$A:$AN,21,0),""))</f>
        <v/>
      </c>
      <c r="V330" s="5" t="str">
        <f>IF($A330="","",IFERROR(SUBSTITUTE(VLOOKUP($A330,Sheet1!$A:$AN,22,0),"族",""),""))</f>
        <v/>
      </c>
      <c r="W330" s="5" t="str">
        <f>IF($A330="","",IFERROR(VLOOKUP($A330,Sheet1!$A:$AN,23,0),""))</f>
        <v/>
      </c>
      <c r="X330" s="5" t="str">
        <f>IF($A330="","",IFERROR(VLOOKUP($A330,Sheet1!$A:$AN,24,0),""))</f>
        <v/>
      </c>
      <c r="Y330" s="5" t="str">
        <f>IF($A330="","",IFERROR(VLOOKUP($A330,Sheet1!$A:$AN,25,0),""))</f>
        <v/>
      </c>
      <c r="AK330" s="5" t="str">
        <f>IF($A330="","",IFERROR(VLOOKUP($A330,Sheet1!$A:$AN,37,0),""))</f>
        <v/>
      </c>
      <c r="AL330" s="13" t="str">
        <f>IF($A330="","",IFERROR(VLOOKUP($A330,Sheet1!$A:$AN,38,0),""))</f>
        <v/>
      </c>
      <c r="AM330" s="13" t="str">
        <f>IF($A330="","",IFERROR(VLOOKUP($A330,Sheet1!$A:$AN,39,0),""))</f>
        <v/>
      </c>
      <c r="AN330" s="13" t="str">
        <f>IF($A330="","",IFERROR(VLOOKUP($A330,Sheet1!$A:$AN,40,0),""))</f>
        <v/>
      </c>
    </row>
    <row r="331" customHeight="1" spans="1:40">
      <c r="A331" s="5" t="str">
        <f>IF(Sheet1!$A331="","",Sheet1!$A331)</f>
        <v/>
      </c>
      <c r="B331" s="5" t="str">
        <f t="shared" si="25"/>
        <v/>
      </c>
      <c r="C331" s="5" t="str">
        <f>IF($A331="","",IFERROR(VLOOKUP($A331,Sheet1!$A:$AN,3,0),""))</f>
        <v/>
      </c>
      <c r="D331" s="5" t="str">
        <f t="shared" si="26"/>
        <v/>
      </c>
      <c r="I331" s="5" t="str">
        <f t="shared" si="27"/>
        <v/>
      </c>
      <c r="M331" s="5" t="str">
        <f t="shared" si="28"/>
        <v/>
      </c>
      <c r="R331" s="5" t="str">
        <f>IF($A331="","",IFERROR(VLOOKUP($A331,Sheet1!A:AN,18,0),""))</f>
        <v/>
      </c>
      <c r="S331" s="5" t="str">
        <f>IF($A331="","",IFERROR(VLOOKUP($A331,Sheet1!$A:$AN,19,0),""))</f>
        <v/>
      </c>
      <c r="T331" s="5" t="str">
        <f t="shared" si="29"/>
        <v/>
      </c>
      <c r="U331" s="5" t="str">
        <f>IF($A331="","",IFERROR(VLOOKUP($A331,Sheet1!$A:$AN,21,0),""))</f>
        <v/>
      </c>
      <c r="V331" s="5" t="str">
        <f>IF($A331="","",IFERROR(SUBSTITUTE(VLOOKUP($A331,Sheet1!$A:$AN,22,0),"族",""),""))</f>
        <v/>
      </c>
      <c r="W331" s="5" t="str">
        <f>IF($A331="","",IFERROR(VLOOKUP($A331,Sheet1!$A:$AN,23,0),""))</f>
        <v/>
      </c>
      <c r="X331" s="5" t="str">
        <f>IF($A331="","",IFERROR(VLOOKUP($A331,Sheet1!$A:$AN,24,0),""))</f>
        <v/>
      </c>
      <c r="Y331" s="5" t="str">
        <f>IF($A331="","",IFERROR(VLOOKUP($A331,Sheet1!$A:$AN,25,0),""))</f>
        <v/>
      </c>
      <c r="AK331" s="5" t="str">
        <f>IF($A331="","",IFERROR(VLOOKUP($A331,Sheet1!$A:$AN,37,0),""))</f>
        <v/>
      </c>
      <c r="AL331" s="13" t="str">
        <f>IF($A331="","",IFERROR(VLOOKUP($A331,Sheet1!$A:$AN,38,0),""))</f>
        <v/>
      </c>
      <c r="AM331" s="13" t="str">
        <f>IF($A331="","",IFERROR(VLOOKUP($A331,Sheet1!$A:$AN,39,0),""))</f>
        <v/>
      </c>
      <c r="AN331" s="13" t="str">
        <f>IF($A331="","",IFERROR(VLOOKUP($A331,Sheet1!$A:$AN,40,0),""))</f>
        <v/>
      </c>
    </row>
    <row r="332" customHeight="1" spans="1:40">
      <c r="A332" s="5" t="str">
        <f>IF(Sheet1!$A332="","",Sheet1!$A332)</f>
        <v/>
      </c>
      <c r="B332" s="5" t="str">
        <f t="shared" si="25"/>
        <v/>
      </c>
      <c r="C332" s="5" t="str">
        <f>IF($A332="","",IFERROR(VLOOKUP($A332,Sheet1!$A:$AN,3,0),""))</f>
        <v/>
      </c>
      <c r="D332" s="5" t="str">
        <f t="shared" si="26"/>
        <v/>
      </c>
      <c r="I332" s="5" t="str">
        <f t="shared" si="27"/>
        <v/>
      </c>
      <c r="M332" s="5" t="str">
        <f t="shared" si="28"/>
        <v/>
      </c>
      <c r="R332" s="5" t="str">
        <f>IF($A332="","",IFERROR(VLOOKUP($A332,Sheet1!A:AN,18,0),""))</f>
        <v/>
      </c>
      <c r="S332" s="5" t="str">
        <f>IF($A332="","",IFERROR(VLOOKUP($A332,Sheet1!$A:$AN,19,0),""))</f>
        <v/>
      </c>
      <c r="T332" s="5" t="str">
        <f t="shared" si="29"/>
        <v/>
      </c>
      <c r="U332" s="5" t="str">
        <f>IF($A332="","",IFERROR(VLOOKUP($A332,Sheet1!$A:$AN,21,0),""))</f>
        <v/>
      </c>
      <c r="V332" s="5" t="str">
        <f>IF($A332="","",IFERROR(SUBSTITUTE(VLOOKUP($A332,Sheet1!$A:$AN,22,0),"族",""),""))</f>
        <v/>
      </c>
      <c r="W332" s="5" t="str">
        <f>IF($A332="","",IFERROR(VLOOKUP($A332,Sheet1!$A:$AN,23,0),""))</f>
        <v/>
      </c>
      <c r="X332" s="5" t="str">
        <f>IF($A332="","",IFERROR(VLOOKUP($A332,Sheet1!$A:$AN,24,0),""))</f>
        <v/>
      </c>
      <c r="Y332" s="5" t="str">
        <f>IF($A332="","",IFERROR(VLOOKUP($A332,Sheet1!$A:$AN,25,0),""))</f>
        <v/>
      </c>
      <c r="AK332" s="5" t="str">
        <f>IF($A332="","",IFERROR(VLOOKUP($A332,Sheet1!$A:$AN,37,0),""))</f>
        <v/>
      </c>
      <c r="AL332" s="13" t="str">
        <f>IF($A332="","",IFERROR(VLOOKUP($A332,Sheet1!$A:$AN,38,0),""))</f>
        <v/>
      </c>
      <c r="AM332" s="13" t="str">
        <f>IF($A332="","",IFERROR(VLOOKUP($A332,Sheet1!$A:$AN,39,0),""))</f>
        <v/>
      </c>
      <c r="AN332" s="13" t="str">
        <f>IF($A332="","",IFERROR(VLOOKUP($A332,Sheet1!$A:$AN,40,0),""))</f>
        <v/>
      </c>
    </row>
    <row r="333" customHeight="1" spans="1:40">
      <c r="A333" s="5" t="str">
        <f>IF(Sheet1!$A333="","",Sheet1!$A333)</f>
        <v/>
      </c>
      <c r="B333" s="5" t="str">
        <f t="shared" si="25"/>
        <v/>
      </c>
      <c r="C333" s="5" t="str">
        <f>IF($A333="","",IFERROR(VLOOKUP($A333,Sheet1!$A:$AN,3,0),""))</f>
        <v/>
      </c>
      <c r="D333" s="5" t="str">
        <f t="shared" si="26"/>
        <v/>
      </c>
      <c r="I333" s="5" t="str">
        <f t="shared" si="27"/>
        <v/>
      </c>
      <c r="M333" s="5" t="str">
        <f t="shared" si="28"/>
        <v/>
      </c>
      <c r="R333" s="5" t="str">
        <f>IF($A333="","",IFERROR(VLOOKUP($A333,Sheet1!A:AN,18,0),""))</f>
        <v/>
      </c>
      <c r="S333" s="5" t="str">
        <f>IF($A333="","",IFERROR(VLOOKUP($A333,Sheet1!$A:$AN,19,0),""))</f>
        <v/>
      </c>
      <c r="T333" s="5" t="str">
        <f t="shared" si="29"/>
        <v/>
      </c>
      <c r="U333" s="5" t="str">
        <f>IF($A333="","",IFERROR(VLOOKUP($A333,Sheet1!$A:$AN,21,0),""))</f>
        <v/>
      </c>
      <c r="V333" s="5" t="str">
        <f>IF($A333="","",IFERROR(SUBSTITUTE(VLOOKUP($A333,Sheet1!$A:$AN,22,0),"族",""),""))</f>
        <v/>
      </c>
      <c r="W333" s="5" t="str">
        <f>IF($A333="","",IFERROR(VLOOKUP($A333,Sheet1!$A:$AN,23,0),""))</f>
        <v/>
      </c>
      <c r="X333" s="5" t="str">
        <f>IF($A333="","",IFERROR(VLOOKUP($A333,Sheet1!$A:$AN,24,0),""))</f>
        <v/>
      </c>
      <c r="Y333" s="5" t="str">
        <f>IF($A333="","",IFERROR(VLOOKUP($A333,Sheet1!$A:$AN,25,0),""))</f>
        <v/>
      </c>
      <c r="AK333" s="5" t="str">
        <f>IF($A333="","",IFERROR(VLOOKUP($A333,Sheet1!$A:$AN,37,0),""))</f>
        <v/>
      </c>
      <c r="AL333" s="13" t="str">
        <f>IF($A333="","",IFERROR(VLOOKUP($A333,Sheet1!$A:$AN,38,0),""))</f>
        <v/>
      </c>
      <c r="AM333" s="13" t="str">
        <f>IF($A333="","",IFERROR(VLOOKUP($A333,Sheet1!$A:$AN,39,0),""))</f>
        <v/>
      </c>
      <c r="AN333" s="13" t="str">
        <f>IF($A333="","",IFERROR(VLOOKUP($A333,Sheet1!$A:$AN,40,0),""))</f>
        <v/>
      </c>
    </row>
    <row r="334" customHeight="1" spans="1:40">
      <c r="A334" s="5" t="str">
        <f>IF(Sheet1!$A334="","",Sheet1!$A334)</f>
        <v/>
      </c>
      <c r="B334" s="5" t="str">
        <f t="shared" si="25"/>
        <v/>
      </c>
      <c r="C334" s="5" t="str">
        <f>IF($A334="","",IFERROR(VLOOKUP($A334,Sheet1!$A:$AN,3,0),""))</f>
        <v/>
      </c>
      <c r="D334" s="5" t="str">
        <f t="shared" si="26"/>
        <v/>
      </c>
      <c r="I334" s="5" t="str">
        <f t="shared" si="27"/>
        <v/>
      </c>
      <c r="M334" s="5" t="str">
        <f t="shared" si="28"/>
        <v/>
      </c>
      <c r="R334" s="5" t="str">
        <f>IF($A334="","",IFERROR(VLOOKUP($A334,Sheet1!A:AN,18,0),""))</f>
        <v/>
      </c>
      <c r="S334" s="5" t="str">
        <f>IF($A334="","",IFERROR(VLOOKUP($A334,Sheet1!$A:$AN,19,0),""))</f>
        <v/>
      </c>
      <c r="T334" s="5" t="str">
        <f t="shared" si="29"/>
        <v/>
      </c>
      <c r="U334" s="5" t="str">
        <f>IF($A334="","",IFERROR(VLOOKUP($A334,Sheet1!$A:$AN,21,0),""))</f>
        <v/>
      </c>
      <c r="V334" s="5" t="str">
        <f>IF($A334="","",IFERROR(SUBSTITUTE(VLOOKUP($A334,Sheet1!$A:$AN,22,0),"族",""),""))</f>
        <v/>
      </c>
      <c r="W334" s="5" t="str">
        <f>IF($A334="","",IFERROR(VLOOKUP($A334,Sheet1!$A:$AN,23,0),""))</f>
        <v/>
      </c>
      <c r="X334" s="5" t="str">
        <f>IF($A334="","",IFERROR(VLOOKUP($A334,Sheet1!$A:$AN,24,0),""))</f>
        <v/>
      </c>
      <c r="Y334" s="5" t="str">
        <f>IF($A334="","",IFERROR(VLOOKUP($A334,Sheet1!$A:$AN,25,0),""))</f>
        <v/>
      </c>
      <c r="AK334" s="5" t="str">
        <f>IF($A334="","",IFERROR(VLOOKUP($A334,Sheet1!$A:$AN,37,0),""))</f>
        <v/>
      </c>
      <c r="AL334" s="13" t="str">
        <f>IF($A334="","",IFERROR(VLOOKUP($A334,Sheet1!$A:$AN,38,0),""))</f>
        <v/>
      </c>
      <c r="AM334" s="13" t="str">
        <f>IF($A334="","",IFERROR(VLOOKUP($A334,Sheet1!$A:$AN,39,0),""))</f>
        <v/>
      </c>
      <c r="AN334" s="13" t="str">
        <f>IF($A334="","",IFERROR(VLOOKUP($A334,Sheet1!$A:$AN,40,0),""))</f>
        <v/>
      </c>
    </row>
    <row r="335" customHeight="1" spans="1:40">
      <c r="A335" s="5" t="str">
        <f>IF(Sheet1!$A335="","",Sheet1!$A335)</f>
        <v/>
      </c>
      <c r="B335" s="5" t="str">
        <f t="shared" si="25"/>
        <v/>
      </c>
      <c r="C335" s="5" t="str">
        <f>IF($A335="","",IFERROR(VLOOKUP($A335,Sheet1!$A:$AN,3,0),""))</f>
        <v/>
      </c>
      <c r="D335" s="5" t="str">
        <f t="shared" si="26"/>
        <v/>
      </c>
      <c r="I335" s="5" t="str">
        <f t="shared" si="27"/>
        <v/>
      </c>
      <c r="M335" s="5" t="str">
        <f t="shared" si="28"/>
        <v/>
      </c>
      <c r="R335" s="5" t="str">
        <f>IF($A335="","",IFERROR(VLOOKUP($A335,Sheet1!A:AN,18,0),""))</f>
        <v/>
      </c>
      <c r="S335" s="5" t="str">
        <f>IF($A335="","",IFERROR(VLOOKUP($A335,Sheet1!$A:$AN,19,0),""))</f>
        <v/>
      </c>
      <c r="T335" s="5" t="str">
        <f t="shared" si="29"/>
        <v/>
      </c>
      <c r="U335" s="5" t="str">
        <f>IF($A335="","",IFERROR(VLOOKUP($A335,Sheet1!$A:$AN,21,0),""))</f>
        <v/>
      </c>
      <c r="V335" s="5" t="str">
        <f>IF($A335="","",IFERROR(SUBSTITUTE(VLOOKUP($A335,Sheet1!$A:$AN,22,0),"族",""),""))</f>
        <v/>
      </c>
      <c r="W335" s="5" t="str">
        <f>IF($A335="","",IFERROR(VLOOKUP($A335,Sheet1!$A:$AN,23,0),""))</f>
        <v/>
      </c>
      <c r="X335" s="5" t="str">
        <f>IF($A335="","",IFERROR(VLOOKUP($A335,Sheet1!$A:$AN,24,0),""))</f>
        <v/>
      </c>
      <c r="Y335" s="5" t="str">
        <f>IF($A335="","",IFERROR(VLOOKUP($A335,Sheet1!$A:$AN,25,0),""))</f>
        <v/>
      </c>
      <c r="AK335" s="5" t="str">
        <f>IF($A335="","",IFERROR(VLOOKUP($A335,Sheet1!$A:$AN,37,0),""))</f>
        <v/>
      </c>
      <c r="AL335" s="13" t="str">
        <f>IF($A335="","",IFERROR(VLOOKUP($A335,Sheet1!$A:$AN,38,0),""))</f>
        <v/>
      </c>
      <c r="AM335" s="13" t="str">
        <f>IF($A335="","",IFERROR(VLOOKUP($A335,Sheet1!$A:$AN,39,0),""))</f>
        <v/>
      </c>
      <c r="AN335" s="13" t="str">
        <f>IF($A335="","",IFERROR(VLOOKUP($A335,Sheet1!$A:$AN,40,0),""))</f>
        <v/>
      </c>
    </row>
    <row r="336" customHeight="1" spans="1:40">
      <c r="A336" s="5" t="str">
        <f>IF(Sheet1!$A336="","",Sheet1!$A336)</f>
        <v/>
      </c>
      <c r="B336" s="5" t="str">
        <f t="shared" si="25"/>
        <v/>
      </c>
      <c r="C336" s="5" t="str">
        <f>IF($A336="","",IFERROR(VLOOKUP($A336,Sheet1!$A:$AN,3,0),""))</f>
        <v/>
      </c>
      <c r="D336" s="5" t="str">
        <f t="shared" si="26"/>
        <v/>
      </c>
      <c r="I336" s="5" t="str">
        <f t="shared" si="27"/>
        <v/>
      </c>
      <c r="M336" s="5" t="str">
        <f t="shared" si="28"/>
        <v/>
      </c>
      <c r="R336" s="5" t="str">
        <f>IF($A336="","",IFERROR(VLOOKUP($A336,Sheet1!A:AN,18,0),""))</f>
        <v/>
      </c>
      <c r="S336" s="5" t="str">
        <f>IF($A336="","",IFERROR(VLOOKUP($A336,Sheet1!$A:$AN,19,0),""))</f>
        <v/>
      </c>
      <c r="T336" s="5" t="str">
        <f t="shared" si="29"/>
        <v/>
      </c>
      <c r="U336" s="5" t="str">
        <f>IF($A336="","",IFERROR(VLOOKUP($A336,Sheet1!$A:$AN,21,0),""))</f>
        <v/>
      </c>
      <c r="V336" s="5" t="str">
        <f>IF($A336="","",IFERROR(SUBSTITUTE(VLOOKUP($A336,Sheet1!$A:$AN,22,0),"族",""),""))</f>
        <v/>
      </c>
      <c r="W336" s="5" t="str">
        <f>IF($A336="","",IFERROR(VLOOKUP($A336,Sheet1!$A:$AN,23,0),""))</f>
        <v/>
      </c>
      <c r="X336" s="5" t="str">
        <f>IF($A336="","",IFERROR(VLOOKUP($A336,Sheet1!$A:$AN,24,0),""))</f>
        <v/>
      </c>
      <c r="Y336" s="5" t="str">
        <f>IF($A336="","",IFERROR(VLOOKUP($A336,Sheet1!$A:$AN,25,0),""))</f>
        <v/>
      </c>
      <c r="AK336" s="5" t="str">
        <f>IF($A336="","",IFERROR(VLOOKUP($A336,Sheet1!$A:$AN,37,0),""))</f>
        <v/>
      </c>
      <c r="AL336" s="13" t="str">
        <f>IF($A336="","",IFERROR(VLOOKUP($A336,Sheet1!$A:$AN,38,0),""))</f>
        <v/>
      </c>
      <c r="AM336" s="13" t="str">
        <f>IF($A336="","",IFERROR(VLOOKUP($A336,Sheet1!$A:$AN,39,0),""))</f>
        <v/>
      </c>
      <c r="AN336" s="13" t="str">
        <f>IF($A336="","",IFERROR(VLOOKUP($A336,Sheet1!$A:$AN,40,0),""))</f>
        <v/>
      </c>
    </row>
    <row r="337" customHeight="1" spans="1:40">
      <c r="A337" s="5" t="str">
        <f>IF(Sheet1!$A337="","",Sheet1!$A337)</f>
        <v/>
      </c>
      <c r="B337" s="5" t="str">
        <f t="shared" si="25"/>
        <v/>
      </c>
      <c r="C337" s="5" t="str">
        <f>IF($A337="","",IFERROR(VLOOKUP($A337,Sheet1!$A:$AN,3,0),""))</f>
        <v/>
      </c>
      <c r="D337" s="5" t="str">
        <f t="shared" si="26"/>
        <v/>
      </c>
      <c r="I337" s="5" t="str">
        <f t="shared" si="27"/>
        <v/>
      </c>
      <c r="M337" s="5" t="str">
        <f t="shared" si="28"/>
        <v/>
      </c>
      <c r="R337" s="5" t="str">
        <f>IF($A337="","",IFERROR(VLOOKUP($A337,Sheet1!A:AN,18,0),""))</f>
        <v/>
      </c>
      <c r="S337" s="5" t="str">
        <f>IF($A337="","",IFERROR(VLOOKUP($A337,Sheet1!$A:$AN,19,0),""))</f>
        <v/>
      </c>
      <c r="T337" s="5" t="str">
        <f t="shared" si="29"/>
        <v/>
      </c>
      <c r="U337" s="5" t="str">
        <f>IF($A337="","",IFERROR(VLOOKUP($A337,Sheet1!$A:$AN,21,0),""))</f>
        <v/>
      </c>
      <c r="V337" s="5" t="str">
        <f>IF($A337="","",IFERROR(SUBSTITUTE(VLOOKUP($A337,Sheet1!$A:$AN,22,0),"族",""),""))</f>
        <v/>
      </c>
      <c r="W337" s="5" t="str">
        <f>IF($A337="","",IFERROR(VLOOKUP($A337,Sheet1!$A:$AN,23,0),""))</f>
        <v/>
      </c>
      <c r="X337" s="5" t="str">
        <f>IF($A337="","",IFERROR(VLOOKUP($A337,Sheet1!$A:$AN,24,0),""))</f>
        <v/>
      </c>
      <c r="Y337" s="5" t="str">
        <f>IF($A337="","",IFERROR(VLOOKUP($A337,Sheet1!$A:$AN,25,0),""))</f>
        <v/>
      </c>
      <c r="AK337" s="5" t="str">
        <f>IF($A337="","",IFERROR(VLOOKUP($A337,Sheet1!$A:$AN,37,0),""))</f>
        <v/>
      </c>
      <c r="AL337" s="13" t="str">
        <f>IF($A337="","",IFERROR(VLOOKUP($A337,Sheet1!$A:$AN,38,0),""))</f>
        <v/>
      </c>
      <c r="AM337" s="13" t="str">
        <f>IF($A337="","",IFERROR(VLOOKUP($A337,Sheet1!$A:$AN,39,0),""))</f>
        <v/>
      </c>
      <c r="AN337" s="13" t="str">
        <f>IF($A337="","",IFERROR(VLOOKUP($A337,Sheet1!$A:$AN,40,0),""))</f>
        <v/>
      </c>
    </row>
    <row r="338" customHeight="1" spans="1:40">
      <c r="A338" s="5" t="str">
        <f>IF(Sheet1!$A338="","",Sheet1!$A338)</f>
        <v/>
      </c>
      <c r="B338" s="5" t="str">
        <f t="shared" si="25"/>
        <v/>
      </c>
      <c r="C338" s="5" t="str">
        <f>IF($A338="","",IFERROR(VLOOKUP($A338,Sheet1!$A:$AN,3,0),""))</f>
        <v/>
      </c>
      <c r="D338" s="5" t="str">
        <f t="shared" si="26"/>
        <v/>
      </c>
      <c r="I338" s="5" t="str">
        <f t="shared" si="27"/>
        <v/>
      </c>
      <c r="M338" s="5" t="str">
        <f t="shared" si="28"/>
        <v/>
      </c>
      <c r="R338" s="5" t="str">
        <f>IF($A338="","",IFERROR(VLOOKUP($A338,Sheet1!A:AN,18,0),""))</f>
        <v/>
      </c>
      <c r="S338" s="5" t="str">
        <f>IF($A338="","",IFERROR(VLOOKUP($A338,Sheet1!$A:$AN,19,0),""))</f>
        <v/>
      </c>
      <c r="T338" s="5" t="str">
        <f t="shared" si="29"/>
        <v/>
      </c>
      <c r="U338" s="5" t="str">
        <f>IF($A338="","",IFERROR(VLOOKUP($A338,Sheet1!$A:$AN,21,0),""))</f>
        <v/>
      </c>
      <c r="V338" s="5" t="str">
        <f>IF($A338="","",IFERROR(SUBSTITUTE(VLOOKUP($A338,Sheet1!$A:$AN,22,0),"族",""),""))</f>
        <v/>
      </c>
      <c r="W338" s="5" t="str">
        <f>IF($A338="","",IFERROR(VLOOKUP($A338,Sheet1!$A:$AN,23,0),""))</f>
        <v/>
      </c>
      <c r="X338" s="5" t="str">
        <f>IF($A338="","",IFERROR(VLOOKUP($A338,Sheet1!$A:$AN,24,0),""))</f>
        <v/>
      </c>
      <c r="Y338" s="5" t="str">
        <f>IF($A338="","",IFERROR(VLOOKUP($A338,Sheet1!$A:$AN,25,0),""))</f>
        <v/>
      </c>
      <c r="AK338" s="5" t="str">
        <f>IF($A338="","",IFERROR(VLOOKUP($A338,Sheet1!$A:$AN,37,0),""))</f>
        <v/>
      </c>
      <c r="AL338" s="13" t="str">
        <f>IF($A338="","",IFERROR(VLOOKUP($A338,Sheet1!$A:$AN,38,0),""))</f>
        <v/>
      </c>
      <c r="AM338" s="13" t="str">
        <f>IF($A338="","",IFERROR(VLOOKUP($A338,Sheet1!$A:$AN,39,0),""))</f>
        <v/>
      </c>
      <c r="AN338" s="13" t="str">
        <f>IF($A338="","",IFERROR(VLOOKUP($A338,Sheet1!$A:$AN,40,0),""))</f>
        <v/>
      </c>
    </row>
    <row r="339" customHeight="1" spans="1:40">
      <c r="A339" s="5" t="str">
        <f>IF(Sheet1!$A339="","",Sheet1!$A339)</f>
        <v/>
      </c>
      <c r="B339" s="5" t="str">
        <f t="shared" si="25"/>
        <v/>
      </c>
      <c r="C339" s="5" t="str">
        <f>IF($A339="","",IFERROR(VLOOKUP($A339,Sheet1!$A:$AN,3,0),""))</f>
        <v/>
      </c>
      <c r="D339" s="5" t="str">
        <f t="shared" si="26"/>
        <v/>
      </c>
      <c r="I339" s="5" t="str">
        <f t="shared" si="27"/>
        <v/>
      </c>
      <c r="M339" s="5" t="str">
        <f t="shared" si="28"/>
        <v/>
      </c>
      <c r="R339" s="5" t="str">
        <f>IF($A339="","",IFERROR(VLOOKUP($A339,Sheet1!A:AN,18,0),""))</f>
        <v/>
      </c>
      <c r="S339" s="5" t="str">
        <f>IF($A339="","",IFERROR(VLOOKUP($A339,Sheet1!$A:$AN,19,0),""))</f>
        <v/>
      </c>
      <c r="T339" s="5" t="str">
        <f t="shared" si="29"/>
        <v/>
      </c>
      <c r="U339" s="5" t="str">
        <f>IF($A339="","",IFERROR(VLOOKUP($A339,Sheet1!$A:$AN,21,0),""))</f>
        <v/>
      </c>
      <c r="V339" s="5" t="str">
        <f>IF($A339="","",IFERROR(SUBSTITUTE(VLOOKUP($A339,Sheet1!$A:$AN,22,0),"族",""),""))</f>
        <v/>
      </c>
      <c r="W339" s="5" t="str">
        <f>IF($A339="","",IFERROR(VLOOKUP($A339,Sheet1!$A:$AN,23,0),""))</f>
        <v/>
      </c>
      <c r="X339" s="5" t="str">
        <f>IF($A339="","",IFERROR(VLOOKUP($A339,Sheet1!$A:$AN,24,0),""))</f>
        <v/>
      </c>
      <c r="Y339" s="5" t="str">
        <f>IF($A339="","",IFERROR(VLOOKUP($A339,Sheet1!$A:$AN,25,0),""))</f>
        <v/>
      </c>
      <c r="AK339" s="5" t="str">
        <f>IF($A339="","",IFERROR(VLOOKUP($A339,Sheet1!$A:$AN,37,0),""))</f>
        <v/>
      </c>
      <c r="AL339" s="13" t="str">
        <f>IF($A339="","",IFERROR(VLOOKUP($A339,Sheet1!$A:$AN,38,0),""))</f>
        <v/>
      </c>
      <c r="AM339" s="13" t="str">
        <f>IF($A339="","",IFERROR(VLOOKUP($A339,Sheet1!$A:$AN,39,0),""))</f>
        <v/>
      </c>
      <c r="AN339" s="13" t="str">
        <f>IF($A339="","",IFERROR(VLOOKUP($A339,Sheet1!$A:$AN,40,0),""))</f>
        <v/>
      </c>
    </row>
    <row r="340" customHeight="1" spans="1:40">
      <c r="A340" s="5" t="str">
        <f>IF(Sheet1!$A340="","",Sheet1!$A340)</f>
        <v/>
      </c>
      <c r="B340" s="5" t="str">
        <f t="shared" si="25"/>
        <v/>
      </c>
      <c r="C340" s="5" t="str">
        <f>IF($A340="","",IFERROR(VLOOKUP($A340,Sheet1!$A:$AN,3,0),""))</f>
        <v/>
      </c>
      <c r="D340" s="5" t="str">
        <f t="shared" si="26"/>
        <v/>
      </c>
      <c r="I340" s="5" t="str">
        <f t="shared" si="27"/>
        <v/>
      </c>
      <c r="M340" s="5" t="str">
        <f t="shared" si="28"/>
        <v/>
      </c>
      <c r="R340" s="5" t="str">
        <f>IF($A340="","",IFERROR(VLOOKUP($A340,Sheet1!A:AN,18,0),""))</f>
        <v/>
      </c>
      <c r="S340" s="5" t="str">
        <f>IF($A340="","",IFERROR(VLOOKUP($A340,Sheet1!$A:$AN,19,0),""))</f>
        <v/>
      </c>
      <c r="T340" s="5" t="str">
        <f t="shared" si="29"/>
        <v/>
      </c>
      <c r="U340" s="5" t="str">
        <f>IF($A340="","",IFERROR(VLOOKUP($A340,Sheet1!$A:$AN,21,0),""))</f>
        <v/>
      </c>
      <c r="V340" s="5" t="str">
        <f>IF($A340="","",IFERROR(SUBSTITUTE(VLOOKUP($A340,Sheet1!$A:$AN,22,0),"族",""),""))</f>
        <v/>
      </c>
      <c r="W340" s="5" t="str">
        <f>IF($A340="","",IFERROR(VLOOKUP($A340,Sheet1!$A:$AN,23,0),""))</f>
        <v/>
      </c>
      <c r="X340" s="5" t="str">
        <f>IF($A340="","",IFERROR(VLOOKUP($A340,Sheet1!$A:$AN,24,0),""))</f>
        <v/>
      </c>
      <c r="Y340" s="5" t="str">
        <f>IF($A340="","",IFERROR(VLOOKUP($A340,Sheet1!$A:$AN,25,0),""))</f>
        <v/>
      </c>
      <c r="AK340" s="5" t="str">
        <f>IF($A340="","",IFERROR(VLOOKUP($A340,Sheet1!$A:$AN,37,0),""))</f>
        <v/>
      </c>
      <c r="AL340" s="13" t="str">
        <f>IF($A340="","",IFERROR(VLOOKUP($A340,Sheet1!$A:$AN,38,0),""))</f>
        <v/>
      </c>
      <c r="AM340" s="13" t="str">
        <f>IF($A340="","",IFERROR(VLOOKUP($A340,Sheet1!$A:$AN,39,0),""))</f>
        <v/>
      </c>
      <c r="AN340" s="13" t="str">
        <f>IF($A340="","",IFERROR(VLOOKUP($A340,Sheet1!$A:$AN,40,0),""))</f>
        <v/>
      </c>
    </row>
    <row r="341" customHeight="1" spans="1:40">
      <c r="A341" s="5" t="str">
        <f>IF(Sheet1!$A341="","",Sheet1!$A341)</f>
        <v/>
      </c>
      <c r="B341" s="5" t="str">
        <f t="shared" si="25"/>
        <v/>
      </c>
      <c r="C341" s="5" t="str">
        <f>IF($A341="","",IFERROR(VLOOKUP($A341,Sheet1!$A:$AN,3,0),""))</f>
        <v/>
      </c>
      <c r="D341" s="5" t="str">
        <f t="shared" si="26"/>
        <v/>
      </c>
      <c r="I341" s="5" t="str">
        <f t="shared" si="27"/>
        <v/>
      </c>
      <c r="M341" s="5" t="str">
        <f t="shared" si="28"/>
        <v/>
      </c>
      <c r="R341" s="5" t="str">
        <f>IF($A341="","",IFERROR(VLOOKUP($A341,Sheet1!A:AN,18,0),""))</f>
        <v/>
      </c>
      <c r="S341" s="5" t="str">
        <f>IF($A341="","",IFERROR(VLOOKUP($A341,Sheet1!$A:$AN,19,0),""))</f>
        <v/>
      </c>
      <c r="T341" s="5" t="str">
        <f t="shared" si="29"/>
        <v/>
      </c>
      <c r="U341" s="5" t="str">
        <f>IF($A341="","",IFERROR(VLOOKUP($A341,Sheet1!$A:$AN,21,0),""))</f>
        <v/>
      </c>
      <c r="V341" s="5" t="str">
        <f>IF($A341="","",IFERROR(SUBSTITUTE(VLOOKUP($A341,Sheet1!$A:$AN,22,0),"族",""),""))</f>
        <v/>
      </c>
      <c r="W341" s="5" t="str">
        <f>IF($A341="","",IFERROR(VLOOKUP($A341,Sheet1!$A:$AN,23,0),""))</f>
        <v/>
      </c>
      <c r="X341" s="5" t="str">
        <f>IF($A341="","",IFERROR(VLOOKUP($A341,Sheet1!$A:$AN,24,0),""))</f>
        <v/>
      </c>
      <c r="Y341" s="5" t="str">
        <f>IF($A341="","",IFERROR(VLOOKUP($A341,Sheet1!$A:$AN,25,0),""))</f>
        <v/>
      </c>
      <c r="AK341" s="5" t="str">
        <f>IF($A341="","",IFERROR(VLOOKUP($A341,Sheet1!$A:$AN,37,0),""))</f>
        <v/>
      </c>
      <c r="AL341" s="13" t="str">
        <f>IF($A341="","",IFERROR(VLOOKUP($A341,Sheet1!$A:$AN,38,0),""))</f>
        <v/>
      </c>
      <c r="AM341" s="13" t="str">
        <f>IF($A341="","",IFERROR(VLOOKUP($A341,Sheet1!$A:$AN,39,0),""))</f>
        <v/>
      </c>
      <c r="AN341" s="13" t="str">
        <f>IF($A341="","",IFERROR(VLOOKUP($A341,Sheet1!$A:$AN,40,0),""))</f>
        <v/>
      </c>
    </row>
    <row r="342" customHeight="1" spans="1:40">
      <c r="A342" s="5" t="str">
        <f>IF(Sheet1!$A342="","",Sheet1!$A342)</f>
        <v/>
      </c>
      <c r="B342" s="5" t="str">
        <f t="shared" si="25"/>
        <v/>
      </c>
      <c r="C342" s="5" t="str">
        <f>IF($A342="","",IFERROR(VLOOKUP($A342,Sheet1!$A:$AN,3,0),""))</f>
        <v/>
      </c>
      <c r="D342" s="5" t="str">
        <f t="shared" si="26"/>
        <v/>
      </c>
      <c r="I342" s="5" t="str">
        <f t="shared" si="27"/>
        <v/>
      </c>
      <c r="M342" s="5" t="str">
        <f t="shared" si="28"/>
        <v/>
      </c>
      <c r="R342" s="5" t="str">
        <f>IF($A342="","",IFERROR(VLOOKUP($A342,Sheet1!A:AN,18,0),""))</f>
        <v/>
      </c>
      <c r="S342" s="5" t="str">
        <f>IF($A342="","",IFERROR(VLOOKUP($A342,Sheet1!$A:$AN,19,0),""))</f>
        <v/>
      </c>
      <c r="T342" s="5" t="str">
        <f t="shared" si="29"/>
        <v/>
      </c>
      <c r="U342" s="5" t="str">
        <f>IF($A342="","",IFERROR(VLOOKUP($A342,Sheet1!$A:$AN,21,0),""))</f>
        <v/>
      </c>
      <c r="V342" s="5" t="str">
        <f>IF($A342="","",IFERROR(SUBSTITUTE(VLOOKUP($A342,Sheet1!$A:$AN,22,0),"族",""),""))</f>
        <v/>
      </c>
      <c r="W342" s="5" t="str">
        <f>IF($A342="","",IFERROR(VLOOKUP($A342,Sheet1!$A:$AN,23,0),""))</f>
        <v/>
      </c>
      <c r="X342" s="5" t="str">
        <f>IF($A342="","",IFERROR(VLOOKUP($A342,Sheet1!$A:$AN,24,0),""))</f>
        <v/>
      </c>
      <c r="Y342" s="5" t="str">
        <f>IF($A342="","",IFERROR(VLOOKUP($A342,Sheet1!$A:$AN,25,0),""))</f>
        <v/>
      </c>
      <c r="AK342" s="5" t="str">
        <f>IF($A342="","",IFERROR(VLOOKUP($A342,Sheet1!$A:$AN,37,0),""))</f>
        <v/>
      </c>
      <c r="AL342" s="13" t="str">
        <f>IF($A342="","",IFERROR(VLOOKUP($A342,Sheet1!$A:$AN,38,0),""))</f>
        <v/>
      </c>
      <c r="AM342" s="13" t="str">
        <f>IF($A342="","",IFERROR(VLOOKUP($A342,Sheet1!$A:$AN,39,0),""))</f>
        <v/>
      </c>
      <c r="AN342" s="13" t="str">
        <f>IF($A342="","",IFERROR(VLOOKUP($A342,Sheet1!$A:$AN,40,0),""))</f>
        <v/>
      </c>
    </row>
    <row r="343" customHeight="1" spans="1:40">
      <c r="A343" s="5" t="str">
        <f>IF(Sheet1!$A343="","",Sheet1!$A343)</f>
        <v/>
      </c>
      <c r="B343" s="5" t="str">
        <f t="shared" si="25"/>
        <v/>
      </c>
      <c r="C343" s="5" t="str">
        <f>IF($A343="","",IFERROR(VLOOKUP($A343,Sheet1!$A:$AN,3,0),""))</f>
        <v/>
      </c>
      <c r="D343" s="5" t="str">
        <f t="shared" si="26"/>
        <v/>
      </c>
      <c r="I343" s="5" t="str">
        <f t="shared" si="27"/>
        <v/>
      </c>
      <c r="M343" s="5" t="str">
        <f t="shared" si="28"/>
        <v/>
      </c>
      <c r="R343" s="5" t="str">
        <f>IF($A343="","",IFERROR(VLOOKUP($A343,Sheet1!A:AN,18,0),""))</f>
        <v/>
      </c>
      <c r="S343" s="5" t="str">
        <f>IF($A343="","",IFERROR(VLOOKUP($A343,Sheet1!$A:$AN,19,0),""))</f>
        <v/>
      </c>
      <c r="T343" s="5" t="str">
        <f t="shared" si="29"/>
        <v/>
      </c>
      <c r="U343" s="5" t="str">
        <f>IF($A343="","",IFERROR(VLOOKUP($A343,Sheet1!$A:$AN,21,0),""))</f>
        <v/>
      </c>
      <c r="V343" s="5" t="str">
        <f>IF($A343="","",IFERROR(SUBSTITUTE(VLOOKUP($A343,Sheet1!$A:$AN,22,0),"族",""),""))</f>
        <v/>
      </c>
      <c r="W343" s="5" t="str">
        <f>IF($A343="","",IFERROR(VLOOKUP($A343,Sheet1!$A:$AN,23,0),""))</f>
        <v/>
      </c>
      <c r="X343" s="5" t="str">
        <f>IF($A343="","",IFERROR(VLOOKUP($A343,Sheet1!$A:$AN,24,0),""))</f>
        <v/>
      </c>
      <c r="Y343" s="5" t="str">
        <f>IF($A343="","",IFERROR(VLOOKUP($A343,Sheet1!$A:$AN,25,0),""))</f>
        <v/>
      </c>
      <c r="AK343" s="5" t="str">
        <f>IF($A343="","",IFERROR(VLOOKUP($A343,Sheet1!$A:$AN,37,0),""))</f>
        <v/>
      </c>
      <c r="AL343" s="13" t="str">
        <f>IF($A343="","",IFERROR(VLOOKUP($A343,Sheet1!$A:$AN,38,0),""))</f>
        <v/>
      </c>
      <c r="AM343" s="13" t="str">
        <f>IF($A343="","",IFERROR(VLOOKUP($A343,Sheet1!$A:$AN,39,0),""))</f>
        <v/>
      </c>
      <c r="AN343" s="13" t="str">
        <f>IF($A343="","",IFERROR(VLOOKUP($A343,Sheet1!$A:$AN,40,0),""))</f>
        <v/>
      </c>
    </row>
    <row r="344" customHeight="1" spans="1:40">
      <c r="A344" s="5" t="str">
        <f>IF(Sheet1!$A344="","",Sheet1!$A344)</f>
        <v/>
      </c>
      <c r="B344" s="5" t="str">
        <f t="shared" si="25"/>
        <v/>
      </c>
      <c r="C344" s="5" t="str">
        <f>IF($A344="","",IFERROR(VLOOKUP($A344,Sheet1!$A:$AN,3,0),""))</f>
        <v/>
      </c>
      <c r="D344" s="5" t="str">
        <f t="shared" si="26"/>
        <v/>
      </c>
      <c r="I344" s="5" t="str">
        <f t="shared" si="27"/>
        <v/>
      </c>
      <c r="M344" s="5" t="str">
        <f t="shared" si="28"/>
        <v/>
      </c>
      <c r="R344" s="5" t="str">
        <f>IF($A344="","",IFERROR(VLOOKUP($A344,Sheet1!A:AN,18,0),""))</f>
        <v/>
      </c>
      <c r="S344" s="5" t="str">
        <f>IF($A344="","",IFERROR(VLOOKUP($A344,Sheet1!$A:$AN,19,0),""))</f>
        <v/>
      </c>
      <c r="T344" s="5" t="str">
        <f t="shared" si="29"/>
        <v/>
      </c>
      <c r="U344" s="5" t="str">
        <f>IF($A344="","",IFERROR(VLOOKUP($A344,Sheet1!$A:$AN,21,0),""))</f>
        <v/>
      </c>
      <c r="V344" s="5" t="str">
        <f>IF($A344="","",IFERROR(SUBSTITUTE(VLOOKUP($A344,Sheet1!$A:$AN,22,0),"族",""),""))</f>
        <v/>
      </c>
      <c r="W344" s="5" t="str">
        <f>IF($A344="","",IFERROR(VLOOKUP($A344,Sheet1!$A:$AN,23,0),""))</f>
        <v/>
      </c>
      <c r="X344" s="5" t="str">
        <f>IF($A344="","",IFERROR(VLOOKUP($A344,Sheet1!$A:$AN,24,0),""))</f>
        <v/>
      </c>
      <c r="Y344" s="5" t="str">
        <f>IF($A344="","",IFERROR(VLOOKUP($A344,Sheet1!$A:$AN,25,0),""))</f>
        <v/>
      </c>
      <c r="AK344" s="5" t="str">
        <f>IF($A344="","",IFERROR(VLOOKUP($A344,Sheet1!$A:$AN,37,0),""))</f>
        <v/>
      </c>
      <c r="AL344" s="13" t="str">
        <f>IF($A344="","",IFERROR(VLOOKUP($A344,Sheet1!$A:$AN,38,0),""))</f>
        <v/>
      </c>
      <c r="AM344" s="13" t="str">
        <f>IF($A344="","",IFERROR(VLOOKUP($A344,Sheet1!$A:$AN,39,0),""))</f>
        <v/>
      </c>
      <c r="AN344" s="13" t="str">
        <f>IF($A344="","",IFERROR(VLOOKUP($A344,Sheet1!$A:$AN,40,0),""))</f>
        <v/>
      </c>
    </row>
    <row r="345" customHeight="1" spans="1:40">
      <c r="A345" s="5" t="str">
        <f>IF(Sheet1!$A345="","",Sheet1!$A345)</f>
        <v/>
      </c>
      <c r="B345" s="5" t="str">
        <f t="shared" si="25"/>
        <v/>
      </c>
      <c r="C345" s="5" t="str">
        <f>IF($A345="","",IFERROR(VLOOKUP($A345,Sheet1!$A:$AN,3,0),""))</f>
        <v/>
      </c>
      <c r="D345" s="5" t="str">
        <f t="shared" si="26"/>
        <v/>
      </c>
      <c r="I345" s="5" t="str">
        <f t="shared" si="27"/>
        <v/>
      </c>
      <c r="M345" s="5" t="str">
        <f t="shared" si="28"/>
        <v/>
      </c>
      <c r="R345" s="5" t="str">
        <f>IF($A345="","",IFERROR(VLOOKUP($A345,Sheet1!A:AN,18,0),""))</f>
        <v/>
      </c>
      <c r="S345" s="5" t="str">
        <f>IF($A345="","",IFERROR(VLOOKUP($A345,Sheet1!$A:$AN,19,0),""))</f>
        <v/>
      </c>
      <c r="T345" s="5" t="str">
        <f t="shared" si="29"/>
        <v/>
      </c>
      <c r="U345" s="5" t="str">
        <f>IF($A345="","",IFERROR(VLOOKUP($A345,Sheet1!$A:$AN,21,0),""))</f>
        <v/>
      </c>
      <c r="V345" s="5" t="str">
        <f>IF($A345="","",IFERROR(SUBSTITUTE(VLOOKUP($A345,Sheet1!$A:$AN,22,0),"族",""),""))</f>
        <v/>
      </c>
      <c r="W345" s="5" t="str">
        <f>IF($A345="","",IFERROR(VLOOKUP($A345,Sheet1!$A:$AN,23,0),""))</f>
        <v/>
      </c>
      <c r="X345" s="5" t="str">
        <f>IF($A345="","",IFERROR(VLOOKUP($A345,Sheet1!$A:$AN,24,0),""))</f>
        <v/>
      </c>
      <c r="Y345" s="5" t="str">
        <f>IF($A345="","",IFERROR(VLOOKUP($A345,Sheet1!$A:$AN,25,0),""))</f>
        <v/>
      </c>
      <c r="AK345" s="5" t="str">
        <f>IF($A345="","",IFERROR(VLOOKUP($A345,Sheet1!$A:$AN,37,0),""))</f>
        <v/>
      </c>
      <c r="AL345" s="13" t="str">
        <f>IF($A345="","",IFERROR(VLOOKUP($A345,Sheet1!$A:$AN,38,0),""))</f>
        <v/>
      </c>
      <c r="AM345" s="13" t="str">
        <f>IF($A345="","",IFERROR(VLOOKUP($A345,Sheet1!$A:$AN,39,0),""))</f>
        <v/>
      </c>
      <c r="AN345" s="13" t="str">
        <f>IF($A345="","",IFERROR(VLOOKUP($A345,Sheet1!$A:$AN,40,0),""))</f>
        <v/>
      </c>
    </row>
    <row r="346" customHeight="1" spans="1:40">
      <c r="A346" s="5" t="str">
        <f>IF(Sheet1!$A346="","",Sheet1!$A346)</f>
        <v/>
      </c>
      <c r="B346" s="5" t="str">
        <f t="shared" si="25"/>
        <v/>
      </c>
      <c r="C346" s="5" t="str">
        <f>IF($A346="","",IFERROR(VLOOKUP($A346,Sheet1!$A:$AN,3,0),""))</f>
        <v/>
      </c>
      <c r="D346" s="5" t="str">
        <f t="shared" si="26"/>
        <v/>
      </c>
      <c r="I346" s="5" t="str">
        <f t="shared" si="27"/>
        <v/>
      </c>
      <c r="M346" s="5" t="str">
        <f t="shared" si="28"/>
        <v/>
      </c>
      <c r="R346" s="5" t="str">
        <f>IF($A346="","",IFERROR(VLOOKUP($A346,Sheet1!A:AN,18,0),""))</f>
        <v/>
      </c>
      <c r="S346" s="5" t="str">
        <f>IF($A346="","",IFERROR(VLOOKUP($A346,Sheet1!$A:$AN,19,0),""))</f>
        <v/>
      </c>
      <c r="T346" s="5" t="str">
        <f t="shared" si="29"/>
        <v/>
      </c>
      <c r="U346" s="5" t="str">
        <f>IF($A346="","",IFERROR(VLOOKUP($A346,Sheet1!$A:$AN,21,0),""))</f>
        <v/>
      </c>
      <c r="V346" s="5" t="str">
        <f>IF($A346="","",IFERROR(SUBSTITUTE(VLOOKUP($A346,Sheet1!$A:$AN,22,0),"族",""),""))</f>
        <v/>
      </c>
      <c r="W346" s="5" t="str">
        <f>IF($A346="","",IFERROR(VLOOKUP($A346,Sheet1!$A:$AN,23,0),""))</f>
        <v/>
      </c>
      <c r="X346" s="5" t="str">
        <f>IF($A346="","",IFERROR(VLOOKUP($A346,Sheet1!$A:$AN,24,0),""))</f>
        <v/>
      </c>
      <c r="Y346" s="5" t="str">
        <f>IF($A346="","",IFERROR(VLOOKUP($A346,Sheet1!$A:$AN,25,0),""))</f>
        <v/>
      </c>
      <c r="AK346" s="5" t="str">
        <f>IF($A346="","",IFERROR(VLOOKUP($A346,Sheet1!$A:$AN,37,0),""))</f>
        <v/>
      </c>
      <c r="AL346" s="13" t="str">
        <f>IF($A346="","",IFERROR(VLOOKUP($A346,Sheet1!$A:$AN,38,0),""))</f>
        <v/>
      </c>
      <c r="AM346" s="13" t="str">
        <f>IF($A346="","",IFERROR(VLOOKUP($A346,Sheet1!$A:$AN,39,0),""))</f>
        <v/>
      </c>
      <c r="AN346" s="13" t="str">
        <f>IF($A346="","",IFERROR(VLOOKUP($A346,Sheet1!$A:$AN,40,0),""))</f>
        <v/>
      </c>
    </row>
    <row r="347" customHeight="1" spans="1:40">
      <c r="A347" s="5" t="str">
        <f>IF(Sheet1!$A347="","",Sheet1!$A347)</f>
        <v/>
      </c>
      <c r="B347" s="5" t="str">
        <f t="shared" si="25"/>
        <v/>
      </c>
      <c r="C347" s="5" t="str">
        <f>IF($A347="","",IFERROR(VLOOKUP($A347,Sheet1!$A:$AN,3,0),""))</f>
        <v/>
      </c>
      <c r="D347" s="5" t="str">
        <f t="shared" si="26"/>
        <v/>
      </c>
      <c r="I347" s="5" t="str">
        <f t="shared" si="27"/>
        <v/>
      </c>
      <c r="M347" s="5" t="str">
        <f t="shared" si="28"/>
        <v/>
      </c>
      <c r="R347" s="5" t="str">
        <f>IF($A347="","",IFERROR(VLOOKUP($A347,Sheet1!A:AN,18,0),""))</f>
        <v/>
      </c>
      <c r="S347" s="5" t="str">
        <f>IF($A347="","",IFERROR(VLOOKUP($A347,Sheet1!$A:$AN,19,0),""))</f>
        <v/>
      </c>
      <c r="T347" s="5" t="str">
        <f t="shared" si="29"/>
        <v/>
      </c>
      <c r="U347" s="5" t="str">
        <f>IF($A347="","",IFERROR(VLOOKUP($A347,Sheet1!$A:$AN,21,0),""))</f>
        <v/>
      </c>
      <c r="V347" s="5" t="str">
        <f>IF($A347="","",IFERROR(SUBSTITUTE(VLOOKUP($A347,Sheet1!$A:$AN,22,0),"族",""),""))</f>
        <v/>
      </c>
      <c r="W347" s="5" t="str">
        <f>IF($A347="","",IFERROR(VLOOKUP($A347,Sheet1!$A:$AN,23,0),""))</f>
        <v/>
      </c>
      <c r="X347" s="5" t="str">
        <f>IF($A347="","",IFERROR(VLOOKUP($A347,Sheet1!$A:$AN,24,0),""))</f>
        <v/>
      </c>
      <c r="Y347" s="5" t="str">
        <f>IF($A347="","",IFERROR(VLOOKUP($A347,Sheet1!$A:$AN,25,0),""))</f>
        <v/>
      </c>
      <c r="AK347" s="5" t="str">
        <f>IF($A347="","",IFERROR(VLOOKUP($A347,Sheet1!$A:$AN,37,0),""))</f>
        <v/>
      </c>
      <c r="AL347" s="13" t="str">
        <f>IF($A347="","",IFERROR(VLOOKUP($A347,Sheet1!$A:$AN,38,0),""))</f>
        <v/>
      </c>
      <c r="AM347" s="13" t="str">
        <f>IF($A347="","",IFERROR(VLOOKUP($A347,Sheet1!$A:$AN,39,0),""))</f>
        <v/>
      </c>
      <c r="AN347" s="13" t="str">
        <f>IF($A347="","",IFERROR(VLOOKUP($A347,Sheet1!$A:$AN,40,0),""))</f>
        <v/>
      </c>
    </row>
    <row r="348" customHeight="1" spans="1:40">
      <c r="A348" s="5" t="str">
        <f>IF(Sheet1!$A348="","",Sheet1!$A348)</f>
        <v/>
      </c>
      <c r="B348" s="5" t="str">
        <f t="shared" si="25"/>
        <v/>
      </c>
      <c r="C348" s="5" t="str">
        <f>IF($A348="","",IFERROR(VLOOKUP($A348,Sheet1!$A:$AN,3,0),""))</f>
        <v/>
      </c>
      <c r="D348" s="5" t="str">
        <f t="shared" si="26"/>
        <v/>
      </c>
      <c r="I348" s="5" t="str">
        <f t="shared" si="27"/>
        <v/>
      </c>
      <c r="M348" s="5" t="str">
        <f t="shared" si="28"/>
        <v/>
      </c>
      <c r="R348" s="5" t="str">
        <f>IF($A348="","",IFERROR(VLOOKUP($A348,Sheet1!A:AN,18,0),""))</f>
        <v/>
      </c>
      <c r="S348" s="5" t="str">
        <f>IF($A348="","",IFERROR(VLOOKUP($A348,Sheet1!$A:$AN,19,0),""))</f>
        <v/>
      </c>
      <c r="T348" s="5" t="str">
        <f t="shared" si="29"/>
        <v/>
      </c>
      <c r="U348" s="5" t="str">
        <f>IF($A348="","",IFERROR(VLOOKUP($A348,Sheet1!$A:$AN,21,0),""))</f>
        <v/>
      </c>
      <c r="V348" s="5" t="str">
        <f>IF($A348="","",IFERROR(SUBSTITUTE(VLOOKUP($A348,Sheet1!$A:$AN,22,0),"族",""),""))</f>
        <v/>
      </c>
      <c r="W348" s="5" t="str">
        <f>IF($A348="","",IFERROR(VLOOKUP($A348,Sheet1!$A:$AN,23,0),""))</f>
        <v/>
      </c>
      <c r="X348" s="5" t="str">
        <f>IF($A348="","",IFERROR(VLOOKUP($A348,Sheet1!$A:$AN,24,0),""))</f>
        <v/>
      </c>
      <c r="Y348" s="5" t="str">
        <f>IF($A348="","",IFERROR(VLOOKUP($A348,Sheet1!$A:$AN,25,0),""))</f>
        <v/>
      </c>
      <c r="AK348" s="5" t="str">
        <f>IF($A348="","",IFERROR(VLOOKUP($A348,Sheet1!$A:$AN,37,0),""))</f>
        <v/>
      </c>
      <c r="AL348" s="13" t="str">
        <f>IF($A348="","",IFERROR(VLOOKUP($A348,Sheet1!$A:$AN,38,0),""))</f>
        <v/>
      </c>
      <c r="AM348" s="13" t="str">
        <f>IF($A348="","",IFERROR(VLOOKUP($A348,Sheet1!$A:$AN,39,0),""))</f>
        <v/>
      </c>
      <c r="AN348" s="13" t="str">
        <f>IF($A348="","",IFERROR(VLOOKUP($A348,Sheet1!$A:$AN,40,0),""))</f>
        <v/>
      </c>
    </row>
    <row r="349" customHeight="1" spans="1:40">
      <c r="A349" s="5" t="str">
        <f>IF(Sheet1!$A349="","",Sheet1!$A349)</f>
        <v/>
      </c>
      <c r="B349" s="5" t="str">
        <f t="shared" si="25"/>
        <v/>
      </c>
      <c r="C349" s="5" t="str">
        <f>IF($A349="","",IFERROR(VLOOKUP($A349,Sheet1!$A:$AN,3,0),""))</f>
        <v/>
      </c>
      <c r="D349" s="5" t="str">
        <f t="shared" si="26"/>
        <v/>
      </c>
      <c r="I349" s="5" t="str">
        <f t="shared" si="27"/>
        <v/>
      </c>
      <c r="M349" s="5" t="str">
        <f t="shared" si="28"/>
        <v/>
      </c>
      <c r="R349" s="5" t="str">
        <f>IF($A349="","",IFERROR(VLOOKUP($A349,Sheet1!A:AN,18,0),""))</f>
        <v/>
      </c>
      <c r="S349" s="5" t="str">
        <f>IF($A349="","",IFERROR(VLOOKUP($A349,Sheet1!$A:$AN,19,0),""))</f>
        <v/>
      </c>
      <c r="T349" s="5" t="str">
        <f t="shared" si="29"/>
        <v/>
      </c>
      <c r="U349" s="5" t="str">
        <f>IF($A349="","",IFERROR(VLOOKUP($A349,Sheet1!$A:$AN,21,0),""))</f>
        <v/>
      </c>
      <c r="V349" s="5" t="str">
        <f>IF($A349="","",IFERROR(SUBSTITUTE(VLOOKUP($A349,Sheet1!$A:$AN,22,0),"族",""),""))</f>
        <v/>
      </c>
      <c r="W349" s="5" t="str">
        <f>IF($A349="","",IFERROR(VLOOKUP($A349,Sheet1!$A:$AN,23,0),""))</f>
        <v/>
      </c>
      <c r="X349" s="5" t="str">
        <f>IF($A349="","",IFERROR(VLOOKUP($A349,Sheet1!$A:$AN,24,0),""))</f>
        <v/>
      </c>
      <c r="Y349" s="5" t="str">
        <f>IF($A349="","",IFERROR(VLOOKUP($A349,Sheet1!$A:$AN,25,0),""))</f>
        <v/>
      </c>
      <c r="AK349" s="5" t="str">
        <f>IF($A349="","",IFERROR(VLOOKUP($A349,Sheet1!$A:$AN,37,0),""))</f>
        <v/>
      </c>
      <c r="AL349" s="13" t="str">
        <f>IF($A349="","",IFERROR(VLOOKUP($A349,Sheet1!$A:$AN,38,0),""))</f>
        <v/>
      </c>
      <c r="AM349" s="13" t="str">
        <f>IF($A349="","",IFERROR(VLOOKUP($A349,Sheet1!$A:$AN,39,0),""))</f>
        <v/>
      </c>
      <c r="AN349" s="13" t="str">
        <f>IF($A349="","",IFERROR(VLOOKUP($A349,Sheet1!$A:$AN,40,0),""))</f>
        <v/>
      </c>
    </row>
    <row r="350" customHeight="1" spans="1:40">
      <c r="A350" s="5" t="str">
        <f>IF(Sheet1!$A350="","",Sheet1!$A350)</f>
        <v/>
      </c>
      <c r="B350" s="5" t="str">
        <f t="shared" si="25"/>
        <v/>
      </c>
      <c r="C350" s="5" t="str">
        <f>IF($A350="","",IFERROR(VLOOKUP($A350,Sheet1!$A:$AN,3,0),""))</f>
        <v/>
      </c>
      <c r="D350" s="5" t="str">
        <f t="shared" si="26"/>
        <v/>
      </c>
      <c r="I350" s="5" t="str">
        <f t="shared" si="27"/>
        <v/>
      </c>
      <c r="M350" s="5" t="str">
        <f t="shared" si="28"/>
        <v/>
      </c>
      <c r="R350" s="5" t="str">
        <f>IF($A350="","",IFERROR(VLOOKUP($A350,Sheet1!A:AN,18,0),""))</f>
        <v/>
      </c>
      <c r="S350" s="5" t="str">
        <f>IF($A350="","",IFERROR(VLOOKUP($A350,Sheet1!$A:$AN,19,0),""))</f>
        <v/>
      </c>
      <c r="T350" s="5" t="str">
        <f t="shared" si="29"/>
        <v/>
      </c>
      <c r="U350" s="5" t="str">
        <f>IF($A350="","",IFERROR(VLOOKUP($A350,Sheet1!$A:$AN,21,0),""))</f>
        <v/>
      </c>
      <c r="V350" s="5" t="str">
        <f>IF($A350="","",IFERROR(SUBSTITUTE(VLOOKUP($A350,Sheet1!$A:$AN,22,0),"族",""),""))</f>
        <v/>
      </c>
      <c r="W350" s="5" t="str">
        <f>IF($A350="","",IFERROR(VLOOKUP($A350,Sheet1!$A:$AN,23,0),""))</f>
        <v/>
      </c>
      <c r="X350" s="5" t="str">
        <f>IF($A350="","",IFERROR(VLOOKUP($A350,Sheet1!$A:$AN,24,0),""))</f>
        <v/>
      </c>
      <c r="Y350" s="5" t="str">
        <f>IF($A350="","",IFERROR(VLOOKUP($A350,Sheet1!$A:$AN,25,0),""))</f>
        <v/>
      </c>
      <c r="AK350" s="5" t="str">
        <f>IF($A350="","",IFERROR(VLOOKUP($A350,Sheet1!$A:$AN,37,0),""))</f>
        <v/>
      </c>
      <c r="AL350" s="13" t="str">
        <f>IF($A350="","",IFERROR(VLOOKUP($A350,Sheet1!$A:$AN,38,0),""))</f>
        <v/>
      </c>
      <c r="AM350" s="13" t="str">
        <f>IF($A350="","",IFERROR(VLOOKUP($A350,Sheet1!$A:$AN,39,0),""))</f>
        <v/>
      </c>
      <c r="AN350" s="13" t="str">
        <f>IF($A350="","",IFERROR(VLOOKUP($A350,Sheet1!$A:$AN,40,0),""))</f>
        <v/>
      </c>
    </row>
    <row r="351" customHeight="1" spans="1:40">
      <c r="A351" s="5" t="str">
        <f>IF(Sheet1!$A351="","",Sheet1!$A351)</f>
        <v/>
      </c>
      <c r="B351" s="5" t="str">
        <f t="shared" si="25"/>
        <v/>
      </c>
      <c r="C351" s="5" t="str">
        <f>IF($A351="","",IFERROR(VLOOKUP($A351,Sheet1!$A:$AN,3,0),""))</f>
        <v/>
      </c>
      <c r="D351" s="5" t="str">
        <f t="shared" si="26"/>
        <v/>
      </c>
      <c r="I351" s="5" t="str">
        <f t="shared" si="27"/>
        <v/>
      </c>
      <c r="M351" s="5" t="str">
        <f t="shared" si="28"/>
        <v/>
      </c>
      <c r="R351" s="5" t="str">
        <f>IF($A351="","",IFERROR(VLOOKUP($A351,Sheet1!A:AN,18,0),""))</f>
        <v/>
      </c>
      <c r="S351" s="5" t="str">
        <f>IF($A351="","",IFERROR(VLOOKUP($A351,Sheet1!$A:$AN,19,0),""))</f>
        <v/>
      </c>
      <c r="T351" s="5" t="str">
        <f t="shared" si="29"/>
        <v/>
      </c>
      <c r="U351" s="5" t="str">
        <f>IF($A351="","",IFERROR(VLOOKUP($A351,Sheet1!$A:$AN,21,0),""))</f>
        <v/>
      </c>
      <c r="V351" s="5" t="str">
        <f>IF($A351="","",IFERROR(SUBSTITUTE(VLOOKUP($A351,Sheet1!$A:$AN,22,0),"族",""),""))</f>
        <v/>
      </c>
      <c r="W351" s="5" t="str">
        <f>IF($A351="","",IFERROR(VLOOKUP($A351,Sheet1!$A:$AN,23,0),""))</f>
        <v/>
      </c>
      <c r="X351" s="5" t="str">
        <f>IF($A351="","",IFERROR(VLOOKUP($A351,Sheet1!$A:$AN,24,0),""))</f>
        <v/>
      </c>
      <c r="Y351" s="5" t="str">
        <f>IF($A351="","",IFERROR(VLOOKUP($A351,Sheet1!$A:$AN,25,0),""))</f>
        <v/>
      </c>
      <c r="AK351" s="5" t="str">
        <f>IF($A351="","",IFERROR(VLOOKUP($A351,Sheet1!$A:$AN,37,0),""))</f>
        <v/>
      </c>
      <c r="AL351" s="13" t="str">
        <f>IF($A351="","",IFERROR(VLOOKUP($A351,Sheet1!$A:$AN,38,0),""))</f>
        <v/>
      </c>
      <c r="AM351" s="13" t="str">
        <f>IF($A351="","",IFERROR(VLOOKUP($A351,Sheet1!$A:$AN,39,0),""))</f>
        <v/>
      </c>
      <c r="AN351" s="13" t="str">
        <f>IF($A351="","",IFERROR(VLOOKUP($A351,Sheet1!$A:$AN,40,0),""))</f>
        <v/>
      </c>
    </row>
    <row r="352" customHeight="1" spans="1:40">
      <c r="A352" s="5" t="str">
        <f>IF(Sheet1!$A352="","",Sheet1!$A352)</f>
        <v/>
      </c>
      <c r="B352" s="5" t="str">
        <f t="shared" si="25"/>
        <v/>
      </c>
      <c r="C352" s="5" t="str">
        <f>IF($A352="","",IFERROR(VLOOKUP($A352,Sheet1!$A:$AN,3,0),""))</f>
        <v/>
      </c>
      <c r="D352" s="5" t="str">
        <f t="shared" si="26"/>
        <v/>
      </c>
      <c r="I352" s="5" t="str">
        <f t="shared" si="27"/>
        <v/>
      </c>
      <c r="M352" s="5" t="str">
        <f t="shared" si="28"/>
        <v/>
      </c>
      <c r="R352" s="5" t="str">
        <f>IF($A352="","",IFERROR(VLOOKUP($A352,Sheet1!A:AN,18,0),""))</f>
        <v/>
      </c>
      <c r="S352" s="5" t="str">
        <f>IF($A352="","",IFERROR(VLOOKUP($A352,Sheet1!$A:$AN,19,0),""))</f>
        <v/>
      </c>
      <c r="T352" s="5" t="str">
        <f t="shared" si="29"/>
        <v/>
      </c>
      <c r="U352" s="5" t="str">
        <f>IF($A352="","",IFERROR(VLOOKUP($A352,Sheet1!$A:$AN,21,0),""))</f>
        <v/>
      </c>
      <c r="V352" s="5" t="str">
        <f>IF($A352="","",IFERROR(SUBSTITUTE(VLOOKUP($A352,Sheet1!$A:$AN,22,0),"族",""),""))</f>
        <v/>
      </c>
      <c r="W352" s="5" t="str">
        <f>IF($A352="","",IFERROR(VLOOKUP($A352,Sheet1!$A:$AN,23,0),""))</f>
        <v/>
      </c>
      <c r="X352" s="5" t="str">
        <f>IF($A352="","",IFERROR(VLOOKUP($A352,Sheet1!$A:$AN,24,0),""))</f>
        <v/>
      </c>
      <c r="Y352" s="5" t="str">
        <f>IF($A352="","",IFERROR(VLOOKUP($A352,Sheet1!$A:$AN,25,0),""))</f>
        <v/>
      </c>
      <c r="AK352" s="5" t="str">
        <f>IF($A352="","",IFERROR(VLOOKUP($A352,Sheet1!$A:$AN,37,0),""))</f>
        <v/>
      </c>
      <c r="AL352" s="13" t="str">
        <f>IF($A352="","",IFERROR(VLOOKUP($A352,Sheet1!$A:$AN,38,0),""))</f>
        <v/>
      </c>
      <c r="AM352" s="13" t="str">
        <f>IF($A352="","",IFERROR(VLOOKUP($A352,Sheet1!$A:$AN,39,0),""))</f>
        <v/>
      </c>
      <c r="AN352" s="13" t="str">
        <f>IF($A352="","",IFERROR(VLOOKUP($A352,Sheet1!$A:$AN,40,0),""))</f>
        <v/>
      </c>
    </row>
    <row r="353" customHeight="1" spans="1:40">
      <c r="A353" s="5" t="str">
        <f>IF(Sheet1!$A353="","",Sheet1!$A353)</f>
        <v/>
      </c>
      <c r="B353" s="5" t="str">
        <f t="shared" si="25"/>
        <v/>
      </c>
      <c r="C353" s="5" t="str">
        <f>IF($A353="","",IFERROR(VLOOKUP($A353,Sheet1!$A:$AN,3,0),""))</f>
        <v/>
      </c>
      <c r="D353" s="5" t="str">
        <f t="shared" si="26"/>
        <v/>
      </c>
      <c r="I353" s="5" t="str">
        <f t="shared" si="27"/>
        <v/>
      </c>
      <c r="M353" s="5" t="str">
        <f t="shared" si="28"/>
        <v/>
      </c>
      <c r="R353" s="5" t="str">
        <f>IF($A353="","",IFERROR(VLOOKUP($A353,Sheet1!A:AN,18,0),""))</f>
        <v/>
      </c>
      <c r="S353" s="5" t="str">
        <f>IF($A353="","",IFERROR(VLOOKUP($A353,Sheet1!$A:$AN,19,0),""))</f>
        <v/>
      </c>
      <c r="T353" s="5" t="str">
        <f t="shared" si="29"/>
        <v/>
      </c>
      <c r="U353" s="5" t="str">
        <f>IF($A353="","",IFERROR(VLOOKUP($A353,Sheet1!$A:$AN,21,0),""))</f>
        <v/>
      </c>
      <c r="V353" s="5" t="str">
        <f>IF($A353="","",IFERROR(SUBSTITUTE(VLOOKUP($A353,Sheet1!$A:$AN,22,0),"族",""),""))</f>
        <v/>
      </c>
      <c r="W353" s="5" t="str">
        <f>IF($A353="","",IFERROR(VLOOKUP($A353,Sheet1!$A:$AN,23,0),""))</f>
        <v/>
      </c>
      <c r="X353" s="5" t="str">
        <f>IF($A353="","",IFERROR(VLOOKUP($A353,Sheet1!$A:$AN,24,0),""))</f>
        <v/>
      </c>
      <c r="Y353" s="5" t="str">
        <f>IF($A353="","",IFERROR(VLOOKUP($A353,Sheet1!$A:$AN,25,0),""))</f>
        <v/>
      </c>
      <c r="AK353" s="5" t="str">
        <f>IF($A353="","",IFERROR(VLOOKUP($A353,Sheet1!$A:$AN,37,0),""))</f>
        <v/>
      </c>
      <c r="AL353" s="13" t="str">
        <f>IF($A353="","",IFERROR(VLOOKUP($A353,Sheet1!$A:$AN,38,0),""))</f>
        <v/>
      </c>
      <c r="AM353" s="13" t="str">
        <f>IF($A353="","",IFERROR(VLOOKUP($A353,Sheet1!$A:$AN,39,0),""))</f>
        <v/>
      </c>
      <c r="AN353" s="13" t="str">
        <f>IF($A353="","",IFERROR(VLOOKUP($A353,Sheet1!$A:$AN,40,0),""))</f>
        <v/>
      </c>
    </row>
    <row r="354" customHeight="1" spans="1:40">
      <c r="A354" s="5" t="str">
        <f>IF(Sheet1!$A354="","",Sheet1!$A354)</f>
        <v/>
      </c>
      <c r="B354" s="5" t="str">
        <f t="shared" si="25"/>
        <v/>
      </c>
      <c r="C354" s="5" t="str">
        <f>IF($A354="","",IFERROR(VLOOKUP($A354,Sheet1!$A:$AN,3,0),""))</f>
        <v/>
      </c>
      <c r="D354" s="5" t="str">
        <f t="shared" si="26"/>
        <v/>
      </c>
      <c r="I354" s="5" t="str">
        <f t="shared" si="27"/>
        <v/>
      </c>
      <c r="M354" s="5" t="str">
        <f t="shared" si="28"/>
        <v/>
      </c>
      <c r="R354" s="5" t="str">
        <f>IF($A354="","",IFERROR(VLOOKUP($A354,Sheet1!A:AN,18,0),""))</f>
        <v/>
      </c>
      <c r="S354" s="5" t="str">
        <f>IF($A354="","",IFERROR(VLOOKUP($A354,Sheet1!$A:$AN,19,0),""))</f>
        <v/>
      </c>
      <c r="T354" s="5" t="str">
        <f t="shared" si="29"/>
        <v/>
      </c>
      <c r="U354" s="5" t="str">
        <f>IF($A354="","",IFERROR(VLOOKUP($A354,Sheet1!$A:$AN,21,0),""))</f>
        <v/>
      </c>
      <c r="V354" s="5" t="str">
        <f>IF($A354="","",IFERROR(SUBSTITUTE(VLOOKUP($A354,Sheet1!$A:$AN,22,0),"族",""),""))</f>
        <v/>
      </c>
      <c r="W354" s="5" t="str">
        <f>IF($A354="","",IFERROR(VLOOKUP($A354,Sheet1!$A:$AN,23,0),""))</f>
        <v/>
      </c>
      <c r="X354" s="5" t="str">
        <f>IF($A354="","",IFERROR(VLOOKUP($A354,Sheet1!$A:$AN,24,0),""))</f>
        <v/>
      </c>
      <c r="Y354" s="5" t="str">
        <f>IF($A354="","",IFERROR(VLOOKUP($A354,Sheet1!$A:$AN,25,0),""))</f>
        <v/>
      </c>
      <c r="AK354" s="5" t="str">
        <f>IF($A354="","",IFERROR(VLOOKUP($A354,Sheet1!$A:$AN,37,0),""))</f>
        <v/>
      </c>
      <c r="AL354" s="13" t="str">
        <f>IF($A354="","",IFERROR(VLOOKUP($A354,Sheet1!$A:$AN,38,0),""))</f>
        <v/>
      </c>
      <c r="AM354" s="13" t="str">
        <f>IF($A354="","",IFERROR(VLOOKUP($A354,Sheet1!$A:$AN,39,0),""))</f>
        <v/>
      </c>
      <c r="AN354" s="13" t="str">
        <f>IF($A354="","",IFERROR(VLOOKUP($A354,Sheet1!$A:$AN,40,0),""))</f>
        <v/>
      </c>
    </row>
    <row r="355" customHeight="1" spans="1:40">
      <c r="A355" s="5" t="str">
        <f>IF(Sheet1!$A355="","",Sheet1!$A355)</f>
        <v/>
      </c>
      <c r="B355" s="5" t="str">
        <f t="shared" si="25"/>
        <v/>
      </c>
      <c r="C355" s="5" t="str">
        <f>IF($A355="","",IFERROR(VLOOKUP($A355,Sheet1!$A:$AN,3,0),""))</f>
        <v/>
      </c>
      <c r="D355" s="5" t="str">
        <f t="shared" si="26"/>
        <v/>
      </c>
      <c r="I355" s="5" t="str">
        <f t="shared" si="27"/>
        <v/>
      </c>
      <c r="M355" s="5" t="str">
        <f t="shared" si="28"/>
        <v/>
      </c>
      <c r="R355" s="5" t="str">
        <f>IF($A355="","",IFERROR(VLOOKUP($A355,Sheet1!A:AN,18,0),""))</f>
        <v/>
      </c>
      <c r="S355" s="5" t="str">
        <f>IF($A355="","",IFERROR(VLOOKUP($A355,Sheet1!$A:$AN,19,0),""))</f>
        <v/>
      </c>
      <c r="T355" s="5" t="str">
        <f t="shared" si="29"/>
        <v/>
      </c>
      <c r="U355" s="5" t="str">
        <f>IF($A355="","",IFERROR(VLOOKUP($A355,Sheet1!$A:$AN,21,0),""))</f>
        <v/>
      </c>
      <c r="V355" s="5" t="str">
        <f>IF($A355="","",IFERROR(SUBSTITUTE(VLOOKUP($A355,Sheet1!$A:$AN,22,0),"族",""),""))</f>
        <v/>
      </c>
      <c r="W355" s="5" t="str">
        <f>IF($A355="","",IFERROR(VLOOKUP($A355,Sheet1!$A:$AN,23,0),""))</f>
        <v/>
      </c>
      <c r="X355" s="5" t="str">
        <f>IF($A355="","",IFERROR(VLOOKUP($A355,Sheet1!$A:$AN,24,0),""))</f>
        <v/>
      </c>
      <c r="Y355" s="5" t="str">
        <f>IF($A355="","",IFERROR(VLOOKUP($A355,Sheet1!$A:$AN,25,0),""))</f>
        <v/>
      </c>
      <c r="AK355" s="5" t="str">
        <f>IF($A355="","",IFERROR(VLOOKUP($A355,Sheet1!$A:$AN,37,0),""))</f>
        <v/>
      </c>
      <c r="AL355" s="13" t="str">
        <f>IF($A355="","",IFERROR(VLOOKUP($A355,Sheet1!$A:$AN,38,0),""))</f>
        <v/>
      </c>
      <c r="AM355" s="13" t="str">
        <f>IF($A355="","",IFERROR(VLOOKUP($A355,Sheet1!$A:$AN,39,0),""))</f>
        <v/>
      </c>
      <c r="AN355" s="13" t="str">
        <f>IF($A355="","",IFERROR(VLOOKUP($A355,Sheet1!$A:$AN,40,0),""))</f>
        <v/>
      </c>
    </row>
    <row r="356" customHeight="1" spans="1:40">
      <c r="A356" s="5" t="str">
        <f>IF(Sheet1!$A356="","",Sheet1!$A356)</f>
        <v/>
      </c>
      <c r="B356" s="5" t="str">
        <f t="shared" si="25"/>
        <v/>
      </c>
      <c r="C356" s="5" t="str">
        <f>IF($A356="","",IFERROR(VLOOKUP($A356,Sheet1!$A:$AN,3,0),""))</f>
        <v/>
      </c>
      <c r="D356" s="5" t="str">
        <f t="shared" si="26"/>
        <v/>
      </c>
      <c r="I356" s="5" t="str">
        <f t="shared" si="27"/>
        <v/>
      </c>
      <c r="M356" s="5" t="str">
        <f t="shared" si="28"/>
        <v/>
      </c>
      <c r="R356" s="5" t="str">
        <f>IF($A356="","",IFERROR(VLOOKUP($A356,Sheet1!A:AN,18,0),""))</f>
        <v/>
      </c>
      <c r="S356" s="5" t="str">
        <f>IF($A356="","",IFERROR(VLOOKUP($A356,Sheet1!$A:$AN,19,0),""))</f>
        <v/>
      </c>
      <c r="T356" s="5" t="str">
        <f t="shared" si="29"/>
        <v/>
      </c>
      <c r="U356" s="5" t="str">
        <f>IF($A356="","",IFERROR(VLOOKUP($A356,Sheet1!$A:$AN,21,0),""))</f>
        <v/>
      </c>
      <c r="V356" s="5" t="str">
        <f>IF($A356="","",IFERROR(SUBSTITUTE(VLOOKUP($A356,Sheet1!$A:$AN,22,0),"族",""),""))</f>
        <v/>
      </c>
      <c r="W356" s="5" t="str">
        <f>IF($A356="","",IFERROR(VLOOKUP($A356,Sheet1!$A:$AN,23,0),""))</f>
        <v/>
      </c>
      <c r="X356" s="5" t="str">
        <f>IF($A356="","",IFERROR(VLOOKUP($A356,Sheet1!$A:$AN,24,0),""))</f>
        <v/>
      </c>
      <c r="Y356" s="5" t="str">
        <f>IF($A356="","",IFERROR(VLOOKUP($A356,Sheet1!$A:$AN,25,0),""))</f>
        <v/>
      </c>
      <c r="AK356" s="5" t="str">
        <f>IF($A356="","",IFERROR(VLOOKUP($A356,Sheet1!$A:$AN,37,0),""))</f>
        <v/>
      </c>
      <c r="AL356" s="13" t="str">
        <f>IF($A356="","",IFERROR(VLOOKUP($A356,Sheet1!$A:$AN,38,0),""))</f>
        <v/>
      </c>
      <c r="AM356" s="13" t="str">
        <f>IF($A356="","",IFERROR(VLOOKUP($A356,Sheet1!$A:$AN,39,0),""))</f>
        <v/>
      </c>
      <c r="AN356" s="13" t="str">
        <f>IF($A356="","",IFERROR(VLOOKUP($A356,Sheet1!$A:$AN,40,0),""))</f>
        <v/>
      </c>
    </row>
    <row r="357" customHeight="1" spans="1:40">
      <c r="A357" s="5" t="str">
        <f>IF(Sheet1!$A357="","",Sheet1!$A357)</f>
        <v/>
      </c>
      <c r="B357" s="5" t="str">
        <f t="shared" si="25"/>
        <v/>
      </c>
      <c r="C357" s="5" t="str">
        <f>IF($A357="","",IFERROR(VLOOKUP($A357,Sheet1!$A:$AN,3,0),""))</f>
        <v/>
      </c>
      <c r="D357" s="5" t="str">
        <f t="shared" si="26"/>
        <v/>
      </c>
      <c r="I357" s="5" t="str">
        <f t="shared" si="27"/>
        <v/>
      </c>
      <c r="M357" s="5" t="str">
        <f t="shared" si="28"/>
        <v/>
      </c>
      <c r="R357" s="5" t="str">
        <f>IF($A357="","",IFERROR(VLOOKUP($A357,Sheet1!A:AN,18,0),""))</f>
        <v/>
      </c>
      <c r="S357" s="5" t="str">
        <f>IF($A357="","",IFERROR(VLOOKUP($A357,Sheet1!$A:$AN,19,0),""))</f>
        <v/>
      </c>
      <c r="T357" s="5" t="str">
        <f t="shared" si="29"/>
        <v/>
      </c>
      <c r="U357" s="5" t="str">
        <f>IF($A357="","",IFERROR(VLOOKUP($A357,Sheet1!$A:$AN,21,0),""))</f>
        <v/>
      </c>
      <c r="V357" s="5" t="str">
        <f>IF($A357="","",IFERROR(SUBSTITUTE(VLOOKUP($A357,Sheet1!$A:$AN,22,0),"族",""),""))</f>
        <v/>
      </c>
      <c r="W357" s="5" t="str">
        <f>IF($A357="","",IFERROR(VLOOKUP($A357,Sheet1!$A:$AN,23,0),""))</f>
        <v/>
      </c>
      <c r="X357" s="5" t="str">
        <f>IF($A357="","",IFERROR(VLOOKUP($A357,Sheet1!$A:$AN,24,0),""))</f>
        <v/>
      </c>
      <c r="Y357" s="5" t="str">
        <f>IF($A357="","",IFERROR(VLOOKUP($A357,Sheet1!$A:$AN,25,0),""))</f>
        <v/>
      </c>
      <c r="AK357" s="5" t="str">
        <f>IF($A357="","",IFERROR(VLOOKUP($A357,Sheet1!$A:$AN,37,0),""))</f>
        <v/>
      </c>
      <c r="AL357" s="13" t="str">
        <f>IF($A357="","",IFERROR(VLOOKUP($A357,Sheet1!$A:$AN,38,0),""))</f>
        <v/>
      </c>
      <c r="AM357" s="13" t="str">
        <f>IF($A357="","",IFERROR(VLOOKUP($A357,Sheet1!$A:$AN,39,0),""))</f>
        <v/>
      </c>
      <c r="AN357" s="13" t="str">
        <f>IF($A357="","",IFERROR(VLOOKUP($A357,Sheet1!$A:$AN,40,0),""))</f>
        <v/>
      </c>
    </row>
    <row r="358" customHeight="1" spans="1:40">
      <c r="A358" s="5" t="str">
        <f>IF(Sheet1!$A358="","",Sheet1!$A358)</f>
        <v/>
      </c>
      <c r="B358" s="5" t="str">
        <f t="shared" si="25"/>
        <v/>
      </c>
      <c r="C358" s="5" t="str">
        <f>IF($A358="","",IFERROR(VLOOKUP($A358,Sheet1!$A:$AN,3,0),""))</f>
        <v/>
      </c>
      <c r="D358" s="5" t="str">
        <f t="shared" si="26"/>
        <v/>
      </c>
      <c r="I358" s="5" t="str">
        <f t="shared" si="27"/>
        <v/>
      </c>
      <c r="M358" s="5" t="str">
        <f t="shared" si="28"/>
        <v/>
      </c>
      <c r="R358" s="5" t="str">
        <f>IF($A358="","",IFERROR(VLOOKUP($A358,Sheet1!A:AN,18,0),""))</f>
        <v/>
      </c>
      <c r="S358" s="5" t="str">
        <f>IF($A358="","",IFERROR(VLOOKUP($A358,Sheet1!$A:$AN,19,0),""))</f>
        <v/>
      </c>
      <c r="T358" s="5" t="str">
        <f t="shared" si="29"/>
        <v/>
      </c>
      <c r="U358" s="5" t="str">
        <f>IF($A358="","",IFERROR(VLOOKUP($A358,Sheet1!$A:$AN,21,0),""))</f>
        <v/>
      </c>
      <c r="V358" s="5" t="str">
        <f>IF($A358="","",IFERROR(SUBSTITUTE(VLOOKUP($A358,Sheet1!$A:$AN,22,0),"族",""),""))</f>
        <v/>
      </c>
      <c r="W358" s="5" t="str">
        <f>IF($A358="","",IFERROR(VLOOKUP($A358,Sheet1!$A:$AN,23,0),""))</f>
        <v/>
      </c>
      <c r="X358" s="5" t="str">
        <f>IF($A358="","",IFERROR(VLOOKUP($A358,Sheet1!$A:$AN,24,0),""))</f>
        <v/>
      </c>
      <c r="Y358" s="5" t="str">
        <f>IF($A358="","",IFERROR(VLOOKUP($A358,Sheet1!$A:$AN,25,0),""))</f>
        <v/>
      </c>
      <c r="AK358" s="5" t="str">
        <f>IF($A358="","",IFERROR(VLOOKUP($A358,Sheet1!$A:$AN,37,0),""))</f>
        <v/>
      </c>
      <c r="AL358" s="13" t="str">
        <f>IF($A358="","",IFERROR(VLOOKUP($A358,Sheet1!$A:$AN,38,0),""))</f>
        <v/>
      </c>
      <c r="AM358" s="13" t="str">
        <f>IF($A358="","",IFERROR(VLOOKUP($A358,Sheet1!$A:$AN,39,0),""))</f>
        <v/>
      </c>
      <c r="AN358" s="13" t="str">
        <f>IF($A358="","",IFERROR(VLOOKUP($A358,Sheet1!$A:$AN,40,0),""))</f>
        <v/>
      </c>
    </row>
    <row r="359" customHeight="1" spans="1:40">
      <c r="A359" s="5" t="str">
        <f>IF(Sheet1!$A359="","",Sheet1!$A359)</f>
        <v/>
      </c>
      <c r="B359" s="5" t="str">
        <f t="shared" si="25"/>
        <v/>
      </c>
      <c r="C359" s="5" t="str">
        <f>IF($A359="","",IFERROR(VLOOKUP($A359,Sheet1!$A:$AN,3,0),""))</f>
        <v/>
      </c>
      <c r="D359" s="5" t="str">
        <f t="shared" si="26"/>
        <v/>
      </c>
      <c r="I359" s="5" t="str">
        <f t="shared" si="27"/>
        <v/>
      </c>
      <c r="M359" s="5" t="str">
        <f t="shared" si="28"/>
        <v/>
      </c>
      <c r="R359" s="5" t="str">
        <f>IF($A359="","",IFERROR(VLOOKUP($A359,Sheet1!A:AN,18,0),""))</f>
        <v/>
      </c>
      <c r="S359" s="5" t="str">
        <f>IF($A359="","",IFERROR(VLOOKUP($A359,Sheet1!$A:$AN,19,0),""))</f>
        <v/>
      </c>
      <c r="T359" s="5" t="str">
        <f t="shared" si="29"/>
        <v/>
      </c>
      <c r="U359" s="5" t="str">
        <f>IF($A359="","",IFERROR(VLOOKUP($A359,Sheet1!$A:$AN,21,0),""))</f>
        <v/>
      </c>
      <c r="V359" s="5" t="str">
        <f>IF($A359="","",IFERROR(SUBSTITUTE(VLOOKUP($A359,Sheet1!$A:$AN,22,0),"族",""),""))</f>
        <v/>
      </c>
      <c r="W359" s="5" t="str">
        <f>IF($A359="","",IFERROR(VLOOKUP($A359,Sheet1!$A:$AN,23,0),""))</f>
        <v/>
      </c>
      <c r="X359" s="5" t="str">
        <f>IF($A359="","",IFERROR(VLOOKUP($A359,Sheet1!$A:$AN,24,0),""))</f>
        <v/>
      </c>
      <c r="Y359" s="5" t="str">
        <f>IF($A359="","",IFERROR(VLOOKUP($A359,Sheet1!$A:$AN,25,0),""))</f>
        <v/>
      </c>
      <c r="AK359" s="5" t="str">
        <f>IF($A359="","",IFERROR(VLOOKUP($A359,Sheet1!$A:$AN,37,0),""))</f>
        <v/>
      </c>
      <c r="AL359" s="13" t="str">
        <f>IF($A359="","",IFERROR(VLOOKUP($A359,Sheet1!$A:$AN,38,0),""))</f>
        <v/>
      </c>
      <c r="AM359" s="13" t="str">
        <f>IF($A359="","",IFERROR(VLOOKUP($A359,Sheet1!$A:$AN,39,0),""))</f>
        <v/>
      </c>
      <c r="AN359" s="13" t="str">
        <f>IF($A359="","",IFERROR(VLOOKUP($A359,Sheet1!$A:$AN,40,0),""))</f>
        <v/>
      </c>
    </row>
    <row r="360" customHeight="1" spans="1:40">
      <c r="A360" s="5" t="str">
        <f>IF(Sheet1!$A360="","",Sheet1!$A360)</f>
        <v/>
      </c>
      <c r="B360" s="5" t="str">
        <f t="shared" si="25"/>
        <v/>
      </c>
      <c r="C360" s="5" t="str">
        <f>IF($A360="","",IFERROR(VLOOKUP($A360,Sheet1!$A:$AN,3,0),""))</f>
        <v/>
      </c>
      <c r="D360" s="5" t="str">
        <f t="shared" si="26"/>
        <v/>
      </c>
      <c r="I360" s="5" t="str">
        <f t="shared" si="27"/>
        <v/>
      </c>
      <c r="M360" s="5" t="str">
        <f t="shared" si="28"/>
        <v/>
      </c>
      <c r="R360" s="5" t="str">
        <f>IF($A360="","",IFERROR(VLOOKUP($A360,Sheet1!A:AN,18,0),""))</f>
        <v/>
      </c>
      <c r="S360" s="5" t="str">
        <f>IF($A360="","",IFERROR(VLOOKUP($A360,Sheet1!$A:$AN,19,0),""))</f>
        <v/>
      </c>
      <c r="T360" s="5" t="str">
        <f t="shared" si="29"/>
        <v/>
      </c>
      <c r="U360" s="5" t="str">
        <f>IF($A360="","",IFERROR(VLOOKUP($A360,Sheet1!$A:$AN,21,0),""))</f>
        <v/>
      </c>
      <c r="V360" s="5" t="str">
        <f>IF($A360="","",IFERROR(SUBSTITUTE(VLOOKUP($A360,Sheet1!$A:$AN,22,0),"族",""),""))</f>
        <v/>
      </c>
      <c r="W360" s="5" t="str">
        <f>IF($A360="","",IFERROR(VLOOKUP($A360,Sheet1!$A:$AN,23,0),""))</f>
        <v/>
      </c>
      <c r="X360" s="5" t="str">
        <f>IF($A360="","",IFERROR(VLOOKUP($A360,Sheet1!$A:$AN,24,0),""))</f>
        <v/>
      </c>
      <c r="Y360" s="5" t="str">
        <f>IF($A360="","",IFERROR(VLOOKUP($A360,Sheet1!$A:$AN,25,0),""))</f>
        <v/>
      </c>
      <c r="AK360" s="5" t="str">
        <f>IF($A360="","",IFERROR(VLOOKUP($A360,Sheet1!$A:$AN,37,0),""))</f>
        <v/>
      </c>
      <c r="AL360" s="13" t="str">
        <f>IF($A360="","",IFERROR(VLOOKUP($A360,Sheet1!$A:$AN,38,0),""))</f>
        <v/>
      </c>
      <c r="AM360" s="13" t="str">
        <f>IF($A360="","",IFERROR(VLOOKUP($A360,Sheet1!$A:$AN,39,0),""))</f>
        <v/>
      </c>
      <c r="AN360" s="13" t="str">
        <f>IF($A360="","",IFERROR(VLOOKUP($A360,Sheet1!$A:$AN,40,0),""))</f>
        <v/>
      </c>
    </row>
    <row r="361" customHeight="1" spans="1:40">
      <c r="A361" s="5" t="str">
        <f>IF(Sheet1!$A361="","",Sheet1!$A361)</f>
        <v/>
      </c>
      <c r="B361" s="5" t="str">
        <f t="shared" si="25"/>
        <v/>
      </c>
      <c r="C361" s="5" t="str">
        <f>IF($A361="","",IFERROR(VLOOKUP($A361,Sheet1!$A:$AN,3,0),""))</f>
        <v/>
      </c>
      <c r="D361" s="5" t="str">
        <f t="shared" si="26"/>
        <v/>
      </c>
      <c r="I361" s="5" t="str">
        <f t="shared" si="27"/>
        <v/>
      </c>
      <c r="M361" s="5" t="str">
        <f t="shared" si="28"/>
        <v/>
      </c>
      <c r="R361" s="5" t="str">
        <f>IF($A361="","",IFERROR(VLOOKUP($A361,Sheet1!A:AN,18,0),""))</f>
        <v/>
      </c>
      <c r="S361" s="5" t="str">
        <f>IF($A361="","",IFERROR(VLOOKUP($A361,Sheet1!$A:$AN,19,0),""))</f>
        <v/>
      </c>
      <c r="T361" s="5" t="str">
        <f t="shared" si="29"/>
        <v/>
      </c>
      <c r="U361" s="5" t="str">
        <f>IF($A361="","",IFERROR(VLOOKUP($A361,Sheet1!$A:$AN,21,0),""))</f>
        <v/>
      </c>
      <c r="V361" s="5" t="str">
        <f>IF($A361="","",IFERROR(SUBSTITUTE(VLOOKUP($A361,Sheet1!$A:$AN,22,0),"族",""),""))</f>
        <v/>
      </c>
      <c r="W361" s="5" t="str">
        <f>IF($A361="","",IFERROR(VLOOKUP($A361,Sheet1!$A:$AN,23,0),""))</f>
        <v/>
      </c>
      <c r="X361" s="5" t="str">
        <f>IF($A361="","",IFERROR(VLOOKUP($A361,Sheet1!$A:$AN,24,0),""))</f>
        <v/>
      </c>
      <c r="Y361" s="5" t="str">
        <f>IF($A361="","",IFERROR(VLOOKUP($A361,Sheet1!$A:$AN,25,0),""))</f>
        <v/>
      </c>
      <c r="AK361" s="5" t="str">
        <f>IF($A361="","",IFERROR(VLOOKUP($A361,Sheet1!$A:$AN,37,0),""))</f>
        <v/>
      </c>
      <c r="AL361" s="13" t="str">
        <f>IF($A361="","",IFERROR(VLOOKUP($A361,Sheet1!$A:$AN,38,0),""))</f>
        <v/>
      </c>
      <c r="AM361" s="13" t="str">
        <f>IF($A361="","",IFERROR(VLOOKUP($A361,Sheet1!$A:$AN,39,0),""))</f>
        <v/>
      </c>
      <c r="AN361" s="13" t="str">
        <f>IF($A361="","",IFERROR(VLOOKUP($A361,Sheet1!$A:$AN,40,0),""))</f>
        <v/>
      </c>
    </row>
    <row r="362" customHeight="1" spans="1:40">
      <c r="A362" s="5" t="str">
        <f>IF(Sheet1!$A362="","",Sheet1!$A362)</f>
        <v/>
      </c>
      <c r="B362" s="5" t="str">
        <f t="shared" si="25"/>
        <v/>
      </c>
      <c r="C362" s="5" t="str">
        <f>IF($A362="","",IFERROR(VLOOKUP($A362,Sheet1!$A:$AN,3,0),""))</f>
        <v/>
      </c>
      <c r="D362" s="5" t="str">
        <f t="shared" si="26"/>
        <v/>
      </c>
      <c r="I362" s="5" t="str">
        <f t="shared" si="27"/>
        <v/>
      </c>
      <c r="M362" s="5" t="str">
        <f t="shared" si="28"/>
        <v/>
      </c>
      <c r="R362" s="5" t="str">
        <f>IF($A362="","",IFERROR(VLOOKUP($A362,Sheet1!A:AN,18,0),""))</f>
        <v/>
      </c>
      <c r="S362" s="5" t="str">
        <f>IF($A362="","",IFERROR(VLOOKUP($A362,Sheet1!$A:$AN,19,0),""))</f>
        <v/>
      </c>
      <c r="T362" s="5" t="str">
        <f t="shared" si="29"/>
        <v/>
      </c>
      <c r="U362" s="5" t="str">
        <f>IF($A362="","",IFERROR(VLOOKUP($A362,Sheet1!$A:$AN,21,0),""))</f>
        <v/>
      </c>
      <c r="V362" s="5" t="str">
        <f>IF($A362="","",IFERROR(SUBSTITUTE(VLOOKUP($A362,Sheet1!$A:$AN,22,0),"族",""),""))</f>
        <v/>
      </c>
      <c r="W362" s="5" t="str">
        <f>IF($A362="","",IFERROR(VLOOKUP($A362,Sheet1!$A:$AN,23,0),""))</f>
        <v/>
      </c>
      <c r="X362" s="5" t="str">
        <f>IF($A362="","",IFERROR(VLOOKUP($A362,Sheet1!$A:$AN,24,0),""))</f>
        <v/>
      </c>
      <c r="Y362" s="5" t="str">
        <f>IF($A362="","",IFERROR(VLOOKUP($A362,Sheet1!$A:$AN,25,0),""))</f>
        <v/>
      </c>
      <c r="AK362" s="5" t="str">
        <f>IF($A362="","",IFERROR(VLOOKUP($A362,Sheet1!$A:$AN,37,0),""))</f>
        <v/>
      </c>
      <c r="AL362" s="13" t="str">
        <f>IF($A362="","",IFERROR(VLOOKUP($A362,Sheet1!$A:$AN,38,0),""))</f>
        <v/>
      </c>
      <c r="AM362" s="13" t="str">
        <f>IF($A362="","",IFERROR(VLOOKUP($A362,Sheet1!$A:$AN,39,0),""))</f>
        <v/>
      </c>
      <c r="AN362" s="13" t="str">
        <f>IF($A362="","",IFERROR(VLOOKUP($A362,Sheet1!$A:$AN,40,0),""))</f>
        <v/>
      </c>
    </row>
    <row r="363" customHeight="1" spans="1:40">
      <c r="A363" s="5" t="str">
        <f>IF(Sheet1!$A363="","",Sheet1!$A363)</f>
        <v/>
      </c>
      <c r="B363" s="5" t="str">
        <f t="shared" si="25"/>
        <v/>
      </c>
      <c r="C363" s="5" t="str">
        <f>IF($A363="","",IFERROR(VLOOKUP($A363,Sheet1!$A:$AN,3,0),""))</f>
        <v/>
      </c>
      <c r="D363" s="5" t="str">
        <f t="shared" si="26"/>
        <v/>
      </c>
      <c r="I363" s="5" t="str">
        <f t="shared" si="27"/>
        <v/>
      </c>
      <c r="M363" s="5" t="str">
        <f t="shared" si="28"/>
        <v/>
      </c>
      <c r="R363" s="5" t="str">
        <f>IF($A363="","",IFERROR(VLOOKUP($A363,Sheet1!A:AN,18,0),""))</f>
        <v/>
      </c>
      <c r="S363" s="5" t="str">
        <f>IF($A363="","",IFERROR(VLOOKUP($A363,Sheet1!$A:$AN,19,0),""))</f>
        <v/>
      </c>
      <c r="T363" s="5" t="str">
        <f t="shared" si="29"/>
        <v/>
      </c>
      <c r="U363" s="5" t="str">
        <f>IF($A363="","",IFERROR(VLOOKUP($A363,Sheet1!$A:$AN,21,0),""))</f>
        <v/>
      </c>
      <c r="V363" s="5" t="str">
        <f>IF($A363="","",IFERROR(SUBSTITUTE(VLOOKUP($A363,Sheet1!$A:$AN,22,0),"族",""),""))</f>
        <v/>
      </c>
      <c r="W363" s="5" t="str">
        <f>IF($A363="","",IFERROR(VLOOKUP($A363,Sheet1!$A:$AN,23,0),""))</f>
        <v/>
      </c>
      <c r="X363" s="5" t="str">
        <f>IF($A363="","",IFERROR(VLOOKUP($A363,Sheet1!$A:$AN,24,0),""))</f>
        <v/>
      </c>
      <c r="Y363" s="5" t="str">
        <f>IF($A363="","",IFERROR(VLOOKUP($A363,Sheet1!$A:$AN,25,0),""))</f>
        <v/>
      </c>
      <c r="AK363" s="5" t="str">
        <f>IF($A363="","",IFERROR(VLOOKUP($A363,Sheet1!$A:$AN,37,0),""))</f>
        <v/>
      </c>
      <c r="AL363" s="13" t="str">
        <f>IF($A363="","",IFERROR(VLOOKUP($A363,Sheet1!$A:$AN,38,0),""))</f>
        <v/>
      </c>
      <c r="AM363" s="13" t="str">
        <f>IF($A363="","",IFERROR(VLOOKUP($A363,Sheet1!$A:$AN,39,0),""))</f>
        <v/>
      </c>
      <c r="AN363" s="13" t="str">
        <f>IF($A363="","",IFERROR(VLOOKUP($A363,Sheet1!$A:$AN,40,0),""))</f>
        <v/>
      </c>
    </row>
    <row r="364" customHeight="1" spans="1:40">
      <c r="A364" s="5" t="str">
        <f>IF(Sheet1!$A364="","",Sheet1!$A364)</f>
        <v/>
      </c>
      <c r="B364" s="5" t="str">
        <f t="shared" si="25"/>
        <v/>
      </c>
      <c r="C364" s="5" t="str">
        <f>IF($A364="","",IFERROR(VLOOKUP($A364,Sheet1!$A:$AN,3,0),""))</f>
        <v/>
      </c>
      <c r="D364" s="5" t="str">
        <f t="shared" si="26"/>
        <v/>
      </c>
      <c r="I364" s="5" t="str">
        <f t="shared" si="27"/>
        <v/>
      </c>
      <c r="M364" s="5" t="str">
        <f t="shared" si="28"/>
        <v/>
      </c>
      <c r="R364" s="5" t="str">
        <f>IF($A364="","",IFERROR(VLOOKUP($A364,Sheet1!A:AN,18,0),""))</f>
        <v/>
      </c>
      <c r="S364" s="5" t="str">
        <f>IF($A364="","",IFERROR(VLOOKUP($A364,Sheet1!$A:$AN,19,0),""))</f>
        <v/>
      </c>
      <c r="T364" s="5" t="str">
        <f t="shared" si="29"/>
        <v/>
      </c>
      <c r="U364" s="5" t="str">
        <f>IF($A364="","",IFERROR(VLOOKUP($A364,Sheet1!$A:$AN,21,0),""))</f>
        <v/>
      </c>
      <c r="V364" s="5" t="str">
        <f>IF($A364="","",IFERROR(SUBSTITUTE(VLOOKUP($A364,Sheet1!$A:$AN,22,0),"族",""),""))</f>
        <v/>
      </c>
      <c r="W364" s="5" t="str">
        <f>IF($A364="","",IFERROR(VLOOKUP($A364,Sheet1!$A:$AN,23,0),""))</f>
        <v/>
      </c>
      <c r="X364" s="5" t="str">
        <f>IF($A364="","",IFERROR(VLOOKUP($A364,Sheet1!$A:$AN,24,0),""))</f>
        <v/>
      </c>
      <c r="Y364" s="5" t="str">
        <f>IF($A364="","",IFERROR(VLOOKUP($A364,Sheet1!$A:$AN,25,0),""))</f>
        <v/>
      </c>
      <c r="AK364" s="5" t="str">
        <f>IF($A364="","",IFERROR(VLOOKUP($A364,Sheet1!$A:$AN,37,0),""))</f>
        <v/>
      </c>
      <c r="AL364" s="13" t="str">
        <f>IF($A364="","",IFERROR(VLOOKUP($A364,Sheet1!$A:$AN,38,0),""))</f>
        <v/>
      </c>
      <c r="AM364" s="13" t="str">
        <f>IF($A364="","",IFERROR(VLOOKUP($A364,Sheet1!$A:$AN,39,0),""))</f>
        <v/>
      </c>
      <c r="AN364" s="13" t="str">
        <f>IF($A364="","",IFERROR(VLOOKUP($A364,Sheet1!$A:$AN,40,0),""))</f>
        <v/>
      </c>
    </row>
    <row r="365" customHeight="1" spans="1:40">
      <c r="A365" s="5" t="str">
        <f>IF(Sheet1!$A365="","",Sheet1!$A365)</f>
        <v/>
      </c>
      <c r="B365" s="5" t="str">
        <f t="shared" si="25"/>
        <v/>
      </c>
      <c r="C365" s="5" t="str">
        <f>IF($A365="","",IFERROR(VLOOKUP($A365,Sheet1!$A:$AN,3,0),""))</f>
        <v/>
      </c>
      <c r="D365" s="5" t="str">
        <f t="shared" si="26"/>
        <v/>
      </c>
      <c r="I365" s="5" t="str">
        <f t="shared" si="27"/>
        <v/>
      </c>
      <c r="M365" s="5" t="str">
        <f t="shared" si="28"/>
        <v/>
      </c>
      <c r="R365" s="5" t="str">
        <f>IF($A365="","",IFERROR(VLOOKUP($A365,Sheet1!A:AN,18,0),""))</f>
        <v/>
      </c>
      <c r="S365" s="5" t="str">
        <f>IF($A365="","",IFERROR(VLOOKUP($A365,Sheet1!$A:$AN,19,0),""))</f>
        <v/>
      </c>
      <c r="T365" s="5" t="str">
        <f t="shared" si="29"/>
        <v/>
      </c>
      <c r="U365" s="5" t="str">
        <f>IF($A365="","",IFERROR(VLOOKUP($A365,Sheet1!$A:$AN,21,0),""))</f>
        <v/>
      </c>
      <c r="V365" s="5" t="str">
        <f>IF($A365="","",IFERROR(SUBSTITUTE(VLOOKUP($A365,Sheet1!$A:$AN,22,0),"族",""),""))</f>
        <v/>
      </c>
      <c r="W365" s="5" t="str">
        <f>IF($A365="","",IFERROR(VLOOKUP($A365,Sheet1!$A:$AN,23,0),""))</f>
        <v/>
      </c>
      <c r="X365" s="5" t="str">
        <f>IF($A365="","",IFERROR(VLOOKUP($A365,Sheet1!$A:$AN,24,0),""))</f>
        <v/>
      </c>
      <c r="Y365" s="5" t="str">
        <f>IF($A365="","",IFERROR(VLOOKUP($A365,Sheet1!$A:$AN,25,0),""))</f>
        <v/>
      </c>
      <c r="AK365" s="5" t="str">
        <f>IF($A365="","",IFERROR(VLOOKUP($A365,Sheet1!$A:$AN,37,0),""))</f>
        <v/>
      </c>
      <c r="AL365" s="13" t="str">
        <f>IF($A365="","",IFERROR(VLOOKUP($A365,Sheet1!$A:$AN,38,0),""))</f>
        <v/>
      </c>
      <c r="AM365" s="13" t="str">
        <f>IF($A365="","",IFERROR(VLOOKUP($A365,Sheet1!$A:$AN,39,0),""))</f>
        <v/>
      </c>
      <c r="AN365" s="13" t="str">
        <f>IF($A365="","",IFERROR(VLOOKUP($A365,Sheet1!$A:$AN,40,0),""))</f>
        <v/>
      </c>
    </row>
    <row r="366" customHeight="1" spans="1:40">
      <c r="A366" s="5" t="str">
        <f>IF(Sheet1!$A366="","",Sheet1!$A366)</f>
        <v/>
      </c>
      <c r="B366" s="5" t="str">
        <f t="shared" si="25"/>
        <v/>
      </c>
      <c r="C366" s="5" t="str">
        <f>IF($A366="","",IFERROR(VLOOKUP($A366,Sheet1!$A:$AN,3,0),""))</f>
        <v/>
      </c>
      <c r="D366" s="5" t="str">
        <f t="shared" si="26"/>
        <v/>
      </c>
      <c r="I366" s="5" t="str">
        <f t="shared" si="27"/>
        <v/>
      </c>
      <c r="M366" s="5" t="str">
        <f t="shared" si="28"/>
        <v/>
      </c>
      <c r="R366" s="5" t="str">
        <f>IF($A366="","",IFERROR(VLOOKUP($A366,Sheet1!A:AN,18,0),""))</f>
        <v/>
      </c>
      <c r="S366" s="5" t="str">
        <f>IF($A366="","",IFERROR(VLOOKUP($A366,Sheet1!$A:$AN,19,0),""))</f>
        <v/>
      </c>
      <c r="T366" s="5" t="str">
        <f t="shared" si="29"/>
        <v/>
      </c>
      <c r="U366" s="5" t="str">
        <f>IF($A366="","",IFERROR(VLOOKUP($A366,Sheet1!$A:$AN,21,0),""))</f>
        <v/>
      </c>
      <c r="V366" s="5" t="str">
        <f>IF($A366="","",IFERROR(SUBSTITUTE(VLOOKUP($A366,Sheet1!$A:$AN,22,0),"族",""),""))</f>
        <v/>
      </c>
      <c r="W366" s="5" t="str">
        <f>IF($A366="","",IFERROR(VLOOKUP($A366,Sheet1!$A:$AN,23,0),""))</f>
        <v/>
      </c>
      <c r="X366" s="5" t="str">
        <f>IF($A366="","",IFERROR(VLOOKUP($A366,Sheet1!$A:$AN,24,0),""))</f>
        <v/>
      </c>
      <c r="Y366" s="5" t="str">
        <f>IF($A366="","",IFERROR(VLOOKUP($A366,Sheet1!$A:$AN,25,0),""))</f>
        <v/>
      </c>
      <c r="AK366" s="5" t="str">
        <f>IF($A366="","",IFERROR(VLOOKUP($A366,Sheet1!$A:$AN,37,0),""))</f>
        <v/>
      </c>
      <c r="AL366" s="13" t="str">
        <f>IF($A366="","",IFERROR(VLOOKUP($A366,Sheet1!$A:$AN,38,0),""))</f>
        <v/>
      </c>
      <c r="AM366" s="13" t="str">
        <f>IF($A366="","",IFERROR(VLOOKUP($A366,Sheet1!$A:$AN,39,0),""))</f>
        <v/>
      </c>
      <c r="AN366" s="13" t="str">
        <f>IF($A366="","",IFERROR(VLOOKUP($A366,Sheet1!$A:$AN,40,0),""))</f>
        <v/>
      </c>
    </row>
    <row r="367" customHeight="1" spans="1:40">
      <c r="A367" s="5" t="str">
        <f>IF(Sheet1!$A367="","",Sheet1!$A367)</f>
        <v/>
      </c>
      <c r="B367" s="5" t="str">
        <f t="shared" si="25"/>
        <v/>
      </c>
      <c r="C367" s="5" t="str">
        <f>IF($A367="","",IFERROR(VLOOKUP($A367,Sheet1!$A:$AN,3,0),""))</f>
        <v/>
      </c>
      <c r="D367" s="5" t="str">
        <f t="shared" si="26"/>
        <v/>
      </c>
      <c r="I367" s="5" t="str">
        <f t="shared" si="27"/>
        <v/>
      </c>
      <c r="M367" s="5" t="str">
        <f t="shared" si="28"/>
        <v/>
      </c>
      <c r="R367" s="5" t="str">
        <f>IF($A367="","",IFERROR(VLOOKUP($A367,Sheet1!A:AN,18,0),""))</f>
        <v/>
      </c>
      <c r="S367" s="5" t="str">
        <f>IF($A367="","",IFERROR(VLOOKUP($A367,Sheet1!$A:$AN,19,0),""))</f>
        <v/>
      </c>
      <c r="T367" s="5" t="str">
        <f t="shared" si="29"/>
        <v/>
      </c>
      <c r="U367" s="5" t="str">
        <f>IF($A367="","",IFERROR(VLOOKUP($A367,Sheet1!$A:$AN,21,0),""))</f>
        <v/>
      </c>
      <c r="V367" s="5" t="str">
        <f>IF($A367="","",IFERROR(SUBSTITUTE(VLOOKUP($A367,Sheet1!$A:$AN,22,0),"族",""),""))</f>
        <v/>
      </c>
      <c r="W367" s="5" t="str">
        <f>IF($A367="","",IFERROR(VLOOKUP($A367,Sheet1!$A:$AN,23,0),""))</f>
        <v/>
      </c>
      <c r="X367" s="5" t="str">
        <f>IF($A367="","",IFERROR(VLOOKUP($A367,Sheet1!$A:$AN,24,0),""))</f>
        <v/>
      </c>
      <c r="Y367" s="5" t="str">
        <f>IF($A367="","",IFERROR(VLOOKUP($A367,Sheet1!$A:$AN,25,0),""))</f>
        <v/>
      </c>
      <c r="AK367" s="5" t="str">
        <f>IF($A367="","",IFERROR(VLOOKUP($A367,Sheet1!$A:$AN,37,0),""))</f>
        <v/>
      </c>
      <c r="AL367" s="13" t="str">
        <f>IF($A367="","",IFERROR(VLOOKUP($A367,Sheet1!$A:$AN,38,0),""))</f>
        <v/>
      </c>
      <c r="AM367" s="13" t="str">
        <f>IF($A367="","",IFERROR(VLOOKUP($A367,Sheet1!$A:$AN,39,0),""))</f>
        <v/>
      </c>
      <c r="AN367" s="13" t="str">
        <f>IF($A367="","",IFERROR(VLOOKUP($A367,Sheet1!$A:$AN,40,0),""))</f>
        <v/>
      </c>
    </row>
    <row r="368" customHeight="1" spans="1:40">
      <c r="A368" s="5" t="str">
        <f>IF(Sheet1!$A368="","",Sheet1!$A368)</f>
        <v/>
      </c>
      <c r="B368" s="5" t="str">
        <f t="shared" si="25"/>
        <v/>
      </c>
      <c r="C368" s="5" t="str">
        <f>IF($A368="","",IFERROR(VLOOKUP($A368,Sheet1!$A:$AN,3,0),""))</f>
        <v/>
      </c>
      <c r="D368" s="5" t="str">
        <f t="shared" si="26"/>
        <v/>
      </c>
      <c r="I368" s="5" t="str">
        <f t="shared" si="27"/>
        <v/>
      </c>
      <c r="M368" s="5" t="str">
        <f t="shared" si="28"/>
        <v/>
      </c>
      <c r="R368" s="5" t="str">
        <f>IF($A368="","",IFERROR(VLOOKUP($A368,Sheet1!A:AN,18,0),""))</f>
        <v/>
      </c>
      <c r="S368" s="5" t="str">
        <f>IF($A368="","",IFERROR(VLOOKUP($A368,Sheet1!$A:$AN,19,0),""))</f>
        <v/>
      </c>
      <c r="T368" s="5" t="str">
        <f t="shared" si="29"/>
        <v/>
      </c>
      <c r="U368" s="5" t="str">
        <f>IF($A368="","",IFERROR(VLOOKUP($A368,Sheet1!$A:$AN,21,0),""))</f>
        <v/>
      </c>
      <c r="V368" s="5" t="str">
        <f>IF($A368="","",IFERROR(SUBSTITUTE(VLOOKUP($A368,Sheet1!$A:$AN,22,0),"族",""),""))</f>
        <v/>
      </c>
      <c r="W368" s="5" t="str">
        <f>IF($A368="","",IFERROR(VLOOKUP($A368,Sheet1!$A:$AN,23,0),""))</f>
        <v/>
      </c>
      <c r="X368" s="5" t="str">
        <f>IF($A368="","",IFERROR(VLOOKUP($A368,Sheet1!$A:$AN,24,0),""))</f>
        <v/>
      </c>
      <c r="Y368" s="5" t="str">
        <f>IF($A368="","",IFERROR(VLOOKUP($A368,Sheet1!$A:$AN,25,0),""))</f>
        <v/>
      </c>
      <c r="AK368" s="5" t="str">
        <f>IF($A368="","",IFERROR(VLOOKUP($A368,Sheet1!$A:$AN,37,0),""))</f>
        <v/>
      </c>
      <c r="AL368" s="13" t="str">
        <f>IF($A368="","",IFERROR(VLOOKUP($A368,Sheet1!$A:$AN,38,0),""))</f>
        <v/>
      </c>
      <c r="AM368" s="13" t="str">
        <f>IF($A368="","",IFERROR(VLOOKUP($A368,Sheet1!$A:$AN,39,0),""))</f>
        <v/>
      </c>
      <c r="AN368" s="13" t="str">
        <f>IF($A368="","",IFERROR(VLOOKUP($A368,Sheet1!$A:$AN,40,0),""))</f>
        <v/>
      </c>
    </row>
    <row r="369" customHeight="1" spans="1:40">
      <c r="A369" s="5" t="str">
        <f>IF(Sheet1!$A369="","",Sheet1!$A369)</f>
        <v/>
      </c>
      <c r="B369" s="5" t="str">
        <f t="shared" si="25"/>
        <v/>
      </c>
      <c r="C369" s="5" t="str">
        <f>IF($A369="","",IFERROR(VLOOKUP($A369,Sheet1!$A:$AN,3,0),""))</f>
        <v/>
      </c>
      <c r="D369" s="5" t="str">
        <f t="shared" si="26"/>
        <v/>
      </c>
      <c r="I369" s="5" t="str">
        <f t="shared" si="27"/>
        <v/>
      </c>
      <c r="M369" s="5" t="str">
        <f t="shared" si="28"/>
        <v/>
      </c>
      <c r="R369" s="5" t="str">
        <f>IF($A369="","",IFERROR(VLOOKUP($A369,Sheet1!A:AN,18,0),""))</f>
        <v/>
      </c>
      <c r="S369" s="5" t="str">
        <f>IF($A369="","",IFERROR(VLOOKUP($A369,Sheet1!$A:$AN,19,0),""))</f>
        <v/>
      </c>
      <c r="T369" s="5" t="str">
        <f t="shared" si="29"/>
        <v/>
      </c>
      <c r="U369" s="5" t="str">
        <f>IF($A369="","",IFERROR(VLOOKUP($A369,Sheet1!$A:$AN,21,0),""))</f>
        <v/>
      </c>
      <c r="V369" s="5" t="str">
        <f>IF($A369="","",IFERROR(SUBSTITUTE(VLOOKUP($A369,Sheet1!$A:$AN,22,0),"族",""),""))</f>
        <v/>
      </c>
      <c r="W369" s="5" t="str">
        <f>IF($A369="","",IFERROR(VLOOKUP($A369,Sheet1!$A:$AN,23,0),""))</f>
        <v/>
      </c>
      <c r="X369" s="5" t="str">
        <f>IF($A369="","",IFERROR(VLOOKUP($A369,Sheet1!$A:$AN,24,0),""))</f>
        <v/>
      </c>
      <c r="Y369" s="5" t="str">
        <f>IF($A369="","",IFERROR(VLOOKUP($A369,Sheet1!$A:$AN,25,0),""))</f>
        <v/>
      </c>
      <c r="AK369" s="5" t="str">
        <f>IF($A369="","",IFERROR(VLOOKUP($A369,Sheet1!$A:$AN,37,0),""))</f>
        <v/>
      </c>
      <c r="AL369" s="13" t="str">
        <f>IF($A369="","",IFERROR(VLOOKUP($A369,Sheet1!$A:$AN,38,0),""))</f>
        <v/>
      </c>
      <c r="AM369" s="13" t="str">
        <f>IF($A369="","",IFERROR(VLOOKUP($A369,Sheet1!$A:$AN,39,0),""))</f>
        <v/>
      </c>
      <c r="AN369" s="13" t="str">
        <f>IF($A369="","",IFERROR(VLOOKUP($A369,Sheet1!$A:$AN,40,0),""))</f>
        <v/>
      </c>
    </row>
    <row r="370" customHeight="1" spans="1:40">
      <c r="A370" s="5" t="str">
        <f>IF(Sheet1!$A370="","",Sheet1!$A370)</f>
        <v/>
      </c>
      <c r="B370" s="5" t="str">
        <f t="shared" si="25"/>
        <v/>
      </c>
      <c r="C370" s="5" t="str">
        <f>IF($A370="","",IFERROR(VLOOKUP($A370,Sheet1!$A:$AN,3,0),""))</f>
        <v/>
      </c>
      <c r="D370" s="5" t="str">
        <f t="shared" si="26"/>
        <v/>
      </c>
      <c r="I370" s="5" t="str">
        <f t="shared" si="27"/>
        <v/>
      </c>
      <c r="M370" s="5" t="str">
        <f t="shared" si="28"/>
        <v/>
      </c>
      <c r="R370" s="5" t="str">
        <f>IF($A370="","",IFERROR(VLOOKUP($A370,Sheet1!A:AN,18,0),""))</f>
        <v/>
      </c>
      <c r="S370" s="5" t="str">
        <f>IF($A370="","",IFERROR(VLOOKUP($A370,Sheet1!$A:$AN,19,0),""))</f>
        <v/>
      </c>
      <c r="T370" s="5" t="str">
        <f t="shared" si="29"/>
        <v/>
      </c>
      <c r="U370" s="5" t="str">
        <f>IF($A370="","",IFERROR(VLOOKUP($A370,Sheet1!$A:$AN,21,0),""))</f>
        <v/>
      </c>
      <c r="V370" s="5" t="str">
        <f>IF($A370="","",IFERROR(SUBSTITUTE(VLOOKUP($A370,Sheet1!$A:$AN,22,0),"族",""),""))</f>
        <v/>
      </c>
      <c r="W370" s="5" t="str">
        <f>IF($A370="","",IFERROR(VLOOKUP($A370,Sheet1!$A:$AN,23,0),""))</f>
        <v/>
      </c>
      <c r="X370" s="5" t="str">
        <f>IF($A370="","",IFERROR(VLOOKUP($A370,Sheet1!$A:$AN,24,0),""))</f>
        <v/>
      </c>
      <c r="Y370" s="5" t="str">
        <f>IF($A370="","",IFERROR(VLOOKUP($A370,Sheet1!$A:$AN,25,0),""))</f>
        <v/>
      </c>
      <c r="AK370" s="5" t="str">
        <f>IF($A370="","",IFERROR(VLOOKUP($A370,Sheet1!$A:$AN,37,0),""))</f>
        <v/>
      </c>
      <c r="AL370" s="13" t="str">
        <f>IF($A370="","",IFERROR(VLOOKUP($A370,Sheet1!$A:$AN,38,0),""))</f>
        <v/>
      </c>
      <c r="AM370" s="13" t="str">
        <f>IF($A370="","",IFERROR(VLOOKUP($A370,Sheet1!$A:$AN,39,0),""))</f>
        <v/>
      </c>
      <c r="AN370" s="13" t="str">
        <f>IF($A370="","",IFERROR(VLOOKUP($A370,Sheet1!$A:$AN,40,0),""))</f>
        <v/>
      </c>
    </row>
    <row r="371" customHeight="1" spans="1:40">
      <c r="A371" s="5" t="str">
        <f>IF(Sheet1!$A371="","",Sheet1!$A371)</f>
        <v/>
      </c>
      <c r="B371" s="5" t="str">
        <f t="shared" si="25"/>
        <v/>
      </c>
      <c r="C371" s="5" t="str">
        <f>IF($A371="","",IFERROR(VLOOKUP($A371,Sheet1!$A:$AN,3,0),""))</f>
        <v/>
      </c>
      <c r="D371" s="5" t="str">
        <f t="shared" si="26"/>
        <v/>
      </c>
      <c r="I371" s="5" t="str">
        <f t="shared" si="27"/>
        <v/>
      </c>
      <c r="M371" s="5" t="str">
        <f t="shared" si="28"/>
        <v/>
      </c>
      <c r="R371" s="5" t="str">
        <f>IF($A371="","",IFERROR(VLOOKUP($A371,Sheet1!A:AN,18,0),""))</f>
        <v/>
      </c>
      <c r="S371" s="5" t="str">
        <f>IF($A371="","",IFERROR(VLOOKUP($A371,Sheet1!$A:$AN,19,0),""))</f>
        <v/>
      </c>
      <c r="T371" s="5" t="str">
        <f t="shared" si="29"/>
        <v/>
      </c>
      <c r="U371" s="5" t="str">
        <f>IF($A371="","",IFERROR(VLOOKUP($A371,Sheet1!$A:$AN,21,0),""))</f>
        <v/>
      </c>
      <c r="V371" s="5" t="str">
        <f>IF($A371="","",IFERROR(SUBSTITUTE(VLOOKUP($A371,Sheet1!$A:$AN,22,0),"族",""),""))</f>
        <v/>
      </c>
      <c r="W371" s="5" t="str">
        <f>IF($A371="","",IFERROR(VLOOKUP($A371,Sheet1!$A:$AN,23,0),""))</f>
        <v/>
      </c>
      <c r="X371" s="5" t="str">
        <f>IF($A371="","",IFERROR(VLOOKUP($A371,Sheet1!$A:$AN,24,0),""))</f>
        <v/>
      </c>
      <c r="Y371" s="5" t="str">
        <f>IF($A371="","",IFERROR(VLOOKUP($A371,Sheet1!$A:$AN,25,0),""))</f>
        <v/>
      </c>
      <c r="AK371" s="5" t="str">
        <f>IF($A371="","",IFERROR(VLOOKUP($A371,Sheet1!$A:$AN,37,0),""))</f>
        <v/>
      </c>
      <c r="AL371" s="13" t="str">
        <f>IF($A371="","",IFERROR(VLOOKUP($A371,Sheet1!$A:$AN,38,0),""))</f>
        <v/>
      </c>
      <c r="AM371" s="13" t="str">
        <f>IF($A371="","",IFERROR(VLOOKUP($A371,Sheet1!$A:$AN,39,0),""))</f>
        <v/>
      </c>
      <c r="AN371" s="13" t="str">
        <f>IF($A371="","",IFERROR(VLOOKUP($A371,Sheet1!$A:$AN,40,0),""))</f>
        <v/>
      </c>
    </row>
    <row r="372" customHeight="1" spans="1:40">
      <c r="A372" s="5" t="str">
        <f>IF(Sheet1!$A372="","",Sheet1!$A372)</f>
        <v/>
      </c>
      <c r="B372" s="5" t="str">
        <f t="shared" si="25"/>
        <v/>
      </c>
      <c r="C372" s="5" t="str">
        <f>IF($A372="","",IFERROR(VLOOKUP($A372,Sheet1!$A:$AN,3,0),""))</f>
        <v/>
      </c>
      <c r="D372" s="5" t="str">
        <f t="shared" si="26"/>
        <v/>
      </c>
      <c r="I372" s="5" t="str">
        <f t="shared" si="27"/>
        <v/>
      </c>
      <c r="M372" s="5" t="str">
        <f t="shared" si="28"/>
        <v/>
      </c>
      <c r="R372" s="5" t="str">
        <f>IF($A372="","",IFERROR(VLOOKUP($A372,Sheet1!A:AN,18,0),""))</f>
        <v/>
      </c>
      <c r="S372" s="5" t="str">
        <f>IF($A372="","",IFERROR(VLOOKUP($A372,Sheet1!$A:$AN,19,0),""))</f>
        <v/>
      </c>
      <c r="T372" s="5" t="str">
        <f t="shared" si="29"/>
        <v/>
      </c>
      <c r="U372" s="5" t="str">
        <f>IF($A372="","",IFERROR(VLOOKUP($A372,Sheet1!$A:$AN,21,0),""))</f>
        <v/>
      </c>
      <c r="V372" s="5" t="str">
        <f>IF($A372="","",IFERROR(SUBSTITUTE(VLOOKUP($A372,Sheet1!$A:$AN,22,0),"族",""),""))</f>
        <v/>
      </c>
      <c r="W372" s="5" t="str">
        <f>IF($A372="","",IFERROR(VLOOKUP($A372,Sheet1!$A:$AN,23,0),""))</f>
        <v/>
      </c>
      <c r="X372" s="5" t="str">
        <f>IF($A372="","",IFERROR(VLOOKUP($A372,Sheet1!$A:$AN,24,0),""))</f>
        <v/>
      </c>
      <c r="Y372" s="5" t="str">
        <f>IF($A372="","",IFERROR(VLOOKUP($A372,Sheet1!$A:$AN,25,0),""))</f>
        <v/>
      </c>
      <c r="AK372" s="5" t="str">
        <f>IF($A372="","",IFERROR(VLOOKUP($A372,Sheet1!$A:$AN,37,0),""))</f>
        <v/>
      </c>
      <c r="AL372" s="13" t="str">
        <f>IF($A372="","",IFERROR(VLOOKUP($A372,Sheet1!$A:$AN,38,0),""))</f>
        <v/>
      </c>
      <c r="AM372" s="13" t="str">
        <f>IF($A372="","",IFERROR(VLOOKUP($A372,Sheet1!$A:$AN,39,0),""))</f>
        <v/>
      </c>
      <c r="AN372" s="13" t="str">
        <f>IF($A372="","",IFERROR(VLOOKUP($A372,Sheet1!$A:$AN,40,0),""))</f>
        <v/>
      </c>
    </row>
    <row r="373" customHeight="1" spans="1:40">
      <c r="A373" s="5" t="str">
        <f>IF(Sheet1!$A373="","",Sheet1!$A373)</f>
        <v/>
      </c>
      <c r="B373" s="5" t="str">
        <f t="shared" si="25"/>
        <v/>
      </c>
      <c r="C373" s="5" t="str">
        <f>IF($A373="","",IFERROR(VLOOKUP($A373,Sheet1!$A:$AN,3,0),""))</f>
        <v/>
      </c>
      <c r="D373" s="5" t="str">
        <f t="shared" si="26"/>
        <v/>
      </c>
      <c r="I373" s="5" t="str">
        <f t="shared" si="27"/>
        <v/>
      </c>
      <c r="M373" s="5" t="str">
        <f t="shared" si="28"/>
        <v/>
      </c>
      <c r="R373" s="5" t="str">
        <f>IF($A373="","",IFERROR(VLOOKUP($A373,Sheet1!A:AN,18,0),""))</f>
        <v/>
      </c>
      <c r="S373" s="5" t="str">
        <f>IF($A373="","",IFERROR(VLOOKUP($A373,Sheet1!$A:$AN,19,0),""))</f>
        <v/>
      </c>
      <c r="T373" s="5" t="str">
        <f t="shared" si="29"/>
        <v/>
      </c>
      <c r="U373" s="5" t="str">
        <f>IF($A373="","",IFERROR(VLOOKUP($A373,Sheet1!$A:$AN,21,0),""))</f>
        <v/>
      </c>
      <c r="V373" s="5" t="str">
        <f>IF($A373="","",IFERROR(SUBSTITUTE(VLOOKUP($A373,Sheet1!$A:$AN,22,0),"族",""),""))</f>
        <v/>
      </c>
      <c r="W373" s="5" t="str">
        <f>IF($A373="","",IFERROR(VLOOKUP($A373,Sheet1!$A:$AN,23,0),""))</f>
        <v/>
      </c>
      <c r="X373" s="5" t="str">
        <f>IF($A373="","",IFERROR(VLOOKUP($A373,Sheet1!$A:$AN,24,0),""))</f>
        <v/>
      </c>
      <c r="Y373" s="5" t="str">
        <f>IF($A373="","",IFERROR(VLOOKUP($A373,Sheet1!$A:$AN,25,0),""))</f>
        <v/>
      </c>
      <c r="AK373" s="5" t="str">
        <f>IF($A373="","",IFERROR(VLOOKUP($A373,Sheet1!$A:$AN,37,0),""))</f>
        <v/>
      </c>
      <c r="AL373" s="13" t="str">
        <f>IF($A373="","",IFERROR(VLOOKUP($A373,Sheet1!$A:$AN,38,0),""))</f>
        <v/>
      </c>
      <c r="AM373" s="13" t="str">
        <f>IF($A373="","",IFERROR(VLOOKUP($A373,Sheet1!$A:$AN,39,0),""))</f>
        <v/>
      </c>
      <c r="AN373" s="13" t="str">
        <f>IF($A373="","",IFERROR(VLOOKUP($A373,Sheet1!$A:$AN,40,0),""))</f>
        <v/>
      </c>
    </row>
    <row r="374" customHeight="1" spans="1:40">
      <c r="A374" s="5" t="str">
        <f>IF(Sheet1!$A374="","",Sheet1!$A374)</f>
        <v/>
      </c>
      <c r="B374" s="5" t="str">
        <f t="shared" si="25"/>
        <v/>
      </c>
      <c r="C374" s="5" t="str">
        <f>IF($A374="","",IFERROR(VLOOKUP($A374,Sheet1!$A:$AN,3,0),""))</f>
        <v/>
      </c>
      <c r="D374" s="5" t="str">
        <f t="shared" si="26"/>
        <v/>
      </c>
      <c r="I374" s="5" t="str">
        <f t="shared" si="27"/>
        <v/>
      </c>
      <c r="M374" s="5" t="str">
        <f t="shared" si="28"/>
        <v/>
      </c>
      <c r="R374" s="5" t="str">
        <f>IF($A374="","",IFERROR(VLOOKUP($A374,Sheet1!A:AN,18,0),""))</f>
        <v/>
      </c>
      <c r="S374" s="5" t="str">
        <f>IF($A374="","",IFERROR(VLOOKUP($A374,Sheet1!$A:$AN,19,0),""))</f>
        <v/>
      </c>
      <c r="T374" s="5" t="str">
        <f t="shared" si="29"/>
        <v/>
      </c>
      <c r="U374" s="5" t="str">
        <f>IF($A374="","",IFERROR(VLOOKUP($A374,Sheet1!$A:$AN,21,0),""))</f>
        <v/>
      </c>
      <c r="V374" s="5" t="str">
        <f>IF($A374="","",IFERROR(SUBSTITUTE(VLOOKUP($A374,Sheet1!$A:$AN,22,0),"族",""),""))</f>
        <v/>
      </c>
      <c r="W374" s="5" t="str">
        <f>IF($A374="","",IFERROR(VLOOKUP($A374,Sheet1!$A:$AN,23,0),""))</f>
        <v/>
      </c>
      <c r="X374" s="5" t="str">
        <f>IF($A374="","",IFERROR(VLOOKUP($A374,Sheet1!$A:$AN,24,0),""))</f>
        <v/>
      </c>
      <c r="Y374" s="5" t="str">
        <f>IF($A374="","",IFERROR(VLOOKUP($A374,Sheet1!$A:$AN,25,0),""))</f>
        <v/>
      </c>
      <c r="AK374" s="5" t="str">
        <f>IF($A374="","",IFERROR(VLOOKUP($A374,Sheet1!$A:$AN,37,0),""))</f>
        <v/>
      </c>
      <c r="AL374" s="13" t="str">
        <f>IF($A374="","",IFERROR(VLOOKUP($A374,Sheet1!$A:$AN,38,0),""))</f>
        <v/>
      </c>
      <c r="AM374" s="13" t="str">
        <f>IF($A374="","",IFERROR(VLOOKUP($A374,Sheet1!$A:$AN,39,0),""))</f>
        <v/>
      </c>
      <c r="AN374" s="13" t="str">
        <f>IF($A374="","",IFERROR(VLOOKUP($A374,Sheet1!$A:$AN,40,0),""))</f>
        <v/>
      </c>
    </row>
    <row r="375" customHeight="1" spans="1:40">
      <c r="A375" s="5" t="str">
        <f>IF(Sheet1!$A375="","",Sheet1!$A375)</f>
        <v/>
      </c>
      <c r="B375" s="5" t="str">
        <f t="shared" si="25"/>
        <v/>
      </c>
      <c r="C375" s="5" t="str">
        <f>IF($A375="","",IFERROR(VLOOKUP($A375,Sheet1!$A:$AN,3,0),""))</f>
        <v/>
      </c>
      <c r="D375" s="5" t="str">
        <f t="shared" si="26"/>
        <v/>
      </c>
      <c r="I375" s="5" t="str">
        <f t="shared" si="27"/>
        <v/>
      </c>
      <c r="M375" s="5" t="str">
        <f t="shared" si="28"/>
        <v/>
      </c>
      <c r="R375" s="5" t="str">
        <f>IF($A375="","",IFERROR(VLOOKUP($A375,Sheet1!A:AN,18,0),""))</f>
        <v/>
      </c>
      <c r="S375" s="5" t="str">
        <f>IF($A375="","",IFERROR(VLOOKUP($A375,Sheet1!$A:$AN,19,0),""))</f>
        <v/>
      </c>
      <c r="T375" s="5" t="str">
        <f t="shared" si="29"/>
        <v/>
      </c>
      <c r="U375" s="5" t="str">
        <f>IF($A375="","",IFERROR(VLOOKUP($A375,Sheet1!$A:$AN,21,0),""))</f>
        <v/>
      </c>
      <c r="V375" s="5" t="str">
        <f>IF($A375="","",IFERROR(SUBSTITUTE(VLOOKUP($A375,Sheet1!$A:$AN,22,0),"族",""),""))</f>
        <v/>
      </c>
      <c r="W375" s="5" t="str">
        <f>IF($A375="","",IFERROR(VLOOKUP($A375,Sheet1!$A:$AN,23,0),""))</f>
        <v/>
      </c>
      <c r="X375" s="5" t="str">
        <f>IF($A375="","",IFERROR(VLOOKUP($A375,Sheet1!$A:$AN,24,0),""))</f>
        <v/>
      </c>
      <c r="Y375" s="5" t="str">
        <f>IF($A375="","",IFERROR(VLOOKUP($A375,Sheet1!$A:$AN,25,0),""))</f>
        <v/>
      </c>
      <c r="AK375" s="5" t="str">
        <f>IF($A375="","",IFERROR(VLOOKUP($A375,Sheet1!$A:$AN,37,0),""))</f>
        <v/>
      </c>
      <c r="AL375" s="13" t="str">
        <f>IF($A375="","",IFERROR(VLOOKUP($A375,Sheet1!$A:$AN,38,0),""))</f>
        <v/>
      </c>
      <c r="AM375" s="13" t="str">
        <f>IF($A375="","",IFERROR(VLOOKUP($A375,Sheet1!$A:$AN,39,0),""))</f>
        <v/>
      </c>
      <c r="AN375" s="13" t="str">
        <f>IF($A375="","",IFERROR(VLOOKUP($A375,Sheet1!$A:$AN,40,0),""))</f>
        <v/>
      </c>
    </row>
    <row r="376" customHeight="1" spans="1:40">
      <c r="A376" s="5" t="str">
        <f>IF(Sheet1!$A376="","",Sheet1!$A376)</f>
        <v/>
      </c>
      <c r="B376" s="5" t="str">
        <f t="shared" si="25"/>
        <v/>
      </c>
      <c r="C376" s="5" t="str">
        <f>IF($A376="","",IFERROR(VLOOKUP($A376,Sheet1!$A:$AN,3,0),""))</f>
        <v/>
      </c>
      <c r="D376" s="5" t="str">
        <f t="shared" si="26"/>
        <v/>
      </c>
      <c r="I376" s="5" t="str">
        <f t="shared" si="27"/>
        <v/>
      </c>
      <c r="M376" s="5" t="str">
        <f t="shared" si="28"/>
        <v/>
      </c>
      <c r="R376" s="5" t="str">
        <f>IF($A376="","",IFERROR(VLOOKUP($A376,Sheet1!A:AN,18,0),""))</f>
        <v/>
      </c>
      <c r="S376" s="5" t="str">
        <f>IF($A376="","",IFERROR(VLOOKUP($A376,Sheet1!$A:$AN,19,0),""))</f>
        <v/>
      </c>
      <c r="T376" s="5" t="str">
        <f t="shared" si="29"/>
        <v/>
      </c>
      <c r="U376" s="5" t="str">
        <f>IF($A376="","",IFERROR(VLOOKUP($A376,Sheet1!$A:$AN,21,0),""))</f>
        <v/>
      </c>
      <c r="V376" s="5" t="str">
        <f>IF($A376="","",IFERROR(SUBSTITUTE(VLOOKUP($A376,Sheet1!$A:$AN,22,0),"族",""),""))</f>
        <v/>
      </c>
      <c r="W376" s="5" t="str">
        <f>IF($A376="","",IFERROR(VLOOKUP($A376,Sheet1!$A:$AN,23,0),""))</f>
        <v/>
      </c>
      <c r="X376" s="5" t="str">
        <f>IF($A376="","",IFERROR(VLOOKUP($A376,Sheet1!$A:$AN,24,0),""))</f>
        <v/>
      </c>
      <c r="Y376" s="5" t="str">
        <f>IF($A376="","",IFERROR(VLOOKUP($A376,Sheet1!$A:$AN,25,0),""))</f>
        <v/>
      </c>
      <c r="AK376" s="5" t="str">
        <f>IF($A376="","",IFERROR(VLOOKUP($A376,Sheet1!$A:$AN,37,0),""))</f>
        <v/>
      </c>
      <c r="AL376" s="13" t="str">
        <f>IF($A376="","",IFERROR(VLOOKUP($A376,Sheet1!$A:$AN,38,0),""))</f>
        <v/>
      </c>
      <c r="AM376" s="13" t="str">
        <f>IF($A376="","",IFERROR(VLOOKUP($A376,Sheet1!$A:$AN,39,0),""))</f>
        <v/>
      </c>
      <c r="AN376" s="13" t="str">
        <f>IF($A376="","",IFERROR(VLOOKUP($A376,Sheet1!$A:$AN,40,0),""))</f>
        <v/>
      </c>
    </row>
    <row r="377" customHeight="1" spans="1:40">
      <c r="A377" s="5" t="str">
        <f>IF(Sheet1!$A377="","",Sheet1!$A377)</f>
        <v/>
      </c>
      <c r="B377" s="5" t="str">
        <f t="shared" si="25"/>
        <v/>
      </c>
      <c r="C377" s="5" t="str">
        <f>IF($A377="","",IFERROR(VLOOKUP($A377,Sheet1!$A:$AN,3,0),""))</f>
        <v/>
      </c>
      <c r="D377" s="5" t="str">
        <f t="shared" si="26"/>
        <v/>
      </c>
      <c r="I377" s="5" t="str">
        <f t="shared" si="27"/>
        <v/>
      </c>
      <c r="M377" s="5" t="str">
        <f t="shared" si="28"/>
        <v/>
      </c>
      <c r="R377" s="5" t="str">
        <f>IF($A377="","",IFERROR(VLOOKUP($A377,Sheet1!A:AN,18,0),""))</f>
        <v/>
      </c>
      <c r="S377" s="5" t="str">
        <f>IF($A377="","",IFERROR(VLOOKUP($A377,Sheet1!$A:$AN,19,0),""))</f>
        <v/>
      </c>
      <c r="T377" s="5" t="str">
        <f t="shared" si="29"/>
        <v/>
      </c>
      <c r="U377" s="5" t="str">
        <f>IF($A377="","",IFERROR(VLOOKUP($A377,Sheet1!$A:$AN,21,0),""))</f>
        <v/>
      </c>
      <c r="V377" s="5" t="str">
        <f>IF($A377="","",IFERROR(SUBSTITUTE(VLOOKUP($A377,Sheet1!$A:$AN,22,0),"族",""),""))</f>
        <v/>
      </c>
      <c r="W377" s="5" t="str">
        <f>IF($A377="","",IFERROR(VLOOKUP($A377,Sheet1!$A:$AN,23,0),""))</f>
        <v/>
      </c>
      <c r="X377" s="5" t="str">
        <f>IF($A377="","",IFERROR(VLOOKUP($A377,Sheet1!$A:$AN,24,0),""))</f>
        <v/>
      </c>
      <c r="Y377" s="5" t="str">
        <f>IF($A377="","",IFERROR(VLOOKUP($A377,Sheet1!$A:$AN,25,0),""))</f>
        <v/>
      </c>
      <c r="AK377" s="5" t="str">
        <f>IF($A377="","",IFERROR(VLOOKUP($A377,Sheet1!$A:$AN,37,0),""))</f>
        <v/>
      </c>
      <c r="AL377" s="13" t="str">
        <f>IF($A377="","",IFERROR(VLOOKUP($A377,Sheet1!$A:$AN,38,0),""))</f>
        <v/>
      </c>
      <c r="AM377" s="13" t="str">
        <f>IF($A377="","",IFERROR(VLOOKUP($A377,Sheet1!$A:$AN,39,0),""))</f>
        <v/>
      </c>
      <c r="AN377" s="13" t="str">
        <f>IF($A377="","",IFERROR(VLOOKUP($A377,Sheet1!$A:$AN,40,0),""))</f>
        <v/>
      </c>
    </row>
    <row r="378" customHeight="1" spans="1:40">
      <c r="A378" s="5" t="str">
        <f>IF(Sheet1!$A378="","",Sheet1!$A378)</f>
        <v/>
      </c>
      <c r="B378" s="5" t="str">
        <f t="shared" si="25"/>
        <v/>
      </c>
      <c r="C378" s="5" t="str">
        <f>IF($A378="","",IFERROR(VLOOKUP($A378,Sheet1!$A:$AN,3,0),""))</f>
        <v/>
      </c>
      <c r="D378" s="5" t="str">
        <f t="shared" si="26"/>
        <v/>
      </c>
      <c r="I378" s="5" t="str">
        <f t="shared" si="27"/>
        <v/>
      </c>
      <c r="M378" s="5" t="str">
        <f t="shared" si="28"/>
        <v/>
      </c>
      <c r="R378" s="5" t="str">
        <f>IF($A378="","",IFERROR(VLOOKUP($A378,Sheet1!A:AN,18,0),""))</f>
        <v/>
      </c>
      <c r="S378" s="5" t="str">
        <f>IF($A378="","",IFERROR(VLOOKUP($A378,Sheet1!$A:$AN,19,0),""))</f>
        <v/>
      </c>
      <c r="T378" s="5" t="str">
        <f t="shared" si="29"/>
        <v/>
      </c>
      <c r="U378" s="5" t="str">
        <f>IF($A378="","",IFERROR(VLOOKUP($A378,Sheet1!$A:$AN,21,0),""))</f>
        <v/>
      </c>
      <c r="V378" s="5" t="str">
        <f>IF($A378="","",IFERROR(SUBSTITUTE(VLOOKUP($A378,Sheet1!$A:$AN,22,0),"族",""),""))</f>
        <v/>
      </c>
      <c r="W378" s="5" t="str">
        <f>IF($A378="","",IFERROR(VLOOKUP($A378,Sheet1!$A:$AN,23,0),""))</f>
        <v/>
      </c>
      <c r="X378" s="5" t="str">
        <f>IF($A378="","",IFERROR(VLOOKUP($A378,Sheet1!$A:$AN,24,0),""))</f>
        <v/>
      </c>
      <c r="Y378" s="5" t="str">
        <f>IF($A378="","",IFERROR(VLOOKUP($A378,Sheet1!$A:$AN,25,0),""))</f>
        <v/>
      </c>
      <c r="AK378" s="5" t="str">
        <f>IF($A378="","",IFERROR(VLOOKUP($A378,Sheet1!$A:$AN,37,0),""))</f>
        <v/>
      </c>
      <c r="AL378" s="13" t="str">
        <f>IF($A378="","",IFERROR(VLOOKUP($A378,Sheet1!$A:$AN,38,0),""))</f>
        <v/>
      </c>
      <c r="AM378" s="13" t="str">
        <f>IF($A378="","",IFERROR(VLOOKUP($A378,Sheet1!$A:$AN,39,0),""))</f>
        <v/>
      </c>
      <c r="AN378" s="13" t="str">
        <f>IF($A378="","",IFERROR(VLOOKUP($A378,Sheet1!$A:$AN,40,0),""))</f>
        <v/>
      </c>
    </row>
    <row r="379" customHeight="1" spans="1:40">
      <c r="A379" s="5" t="str">
        <f>IF(Sheet1!$A379="","",Sheet1!$A379)</f>
        <v/>
      </c>
      <c r="B379" s="5" t="str">
        <f t="shared" si="25"/>
        <v/>
      </c>
      <c r="C379" s="5" t="str">
        <f>IF($A379="","",IFERROR(VLOOKUP($A379,Sheet1!$A:$AN,3,0),""))</f>
        <v/>
      </c>
      <c r="D379" s="5" t="str">
        <f t="shared" si="26"/>
        <v/>
      </c>
      <c r="I379" s="5" t="str">
        <f t="shared" si="27"/>
        <v/>
      </c>
      <c r="M379" s="5" t="str">
        <f t="shared" si="28"/>
        <v/>
      </c>
      <c r="R379" s="5" t="str">
        <f>IF($A379="","",IFERROR(VLOOKUP($A379,Sheet1!A:AN,18,0),""))</f>
        <v/>
      </c>
      <c r="S379" s="5" t="str">
        <f>IF($A379="","",IFERROR(VLOOKUP($A379,Sheet1!$A:$AN,19,0),""))</f>
        <v/>
      </c>
      <c r="T379" s="5" t="str">
        <f t="shared" si="29"/>
        <v/>
      </c>
      <c r="U379" s="5" t="str">
        <f>IF($A379="","",IFERROR(VLOOKUP($A379,Sheet1!$A:$AN,21,0),""))</f>
        <v/>
      </c>
      <c r="V379" s="5" t="str">
        <f>IF($A379="","",IFERROR(SUBSTITUTE(VLOOKUP($A379,Sheet1!$A:$AN,22,0),"族",""),""))</f>
        <v/>
      </c>
      <c r="W379" s="5" t="str">
        <f>IF($A379="","",IFERROR(VLOOKUP($A379,Sheet1!$A:$AN,23,0),""))</f>
        <v/>
      </c>
      <c r="X379" s="5" t="str">
        <f>IF($A379="","",IFERROR(VLOOKUP($A379,Sheet1!$A:$AN,24,0),""))</f>
        <v/>
      </c>
      <c r="Y379" s="5" t="str">
        <f>IF($A379="","",IFERROR(VLOOKUP($A379,Sheet1!$A:$AN,25,0),""))</f>
        <v/>
      </c>
      <c r="AK379" s="5" t="str">
        <f>IF($A379="","",IFERROR(VLOOKUP($A379,Sheet1!$A:$AN,37,0),""))</f>
        <v/>
      </c>
      <c r="AL379" s="13" t="str">
        <f>IF($A379="","",IFERROR(VLOOKUP($A379,Sheet1!$A:$AN,38,0),""))</f>
        <v/>
      </c>
      <c r="AM379" s="13" t="str">
        <f>IF($A379="","",IFERROR(VLOOKUP($A379,Sheet1!$A:$AN,39,0),""))</f>
        <v/>
      </c>
      <c r="AN379" s="13" t="str">
        <f>IF($A379="","",IFERROR(VLOOKUP($A379,Sheet1!$A:$AN,40,0),""))</f>
        <v/>
      </c>
    </row>
    <row r="380" customHeight="1" spans="1:40">
      <c r="A380" s="5" t="str">
        <f>IF(Sheet1!$A380="","",Sheet1!$A380)</f>
        <v/>
      </c>
      <c r="B380" s="5" t="str">
        <f t="shared" si="25"/>
        <v/>
      </c>
      <c r="C380" s="5" t="str">
        <f>IF($A380="","",IFERROR(VLOOKUP($A380,Sheet1!$A:$AN,3,0),""))</f>
        <v/>
      </c>
      <c r="D380" s="5" t="str">
        <f t="shared" si="26"/>
        <v/>
      </c>
      <c r="I380" s="5" t="str">
        <f t="shared" si="27"/>
        <v/>
      </c>
      <c r="M380" s="5" t="str">
        <f t="shared" si="28"/>
        <v/>
      </c>
      <c r="R380" s="5" t="str">
        <f>IF($A380="","",IFERROR(VLOOKUP($A380,Sheet1!A:AN,18,0),""))</f>
        <v/>
      </c>
      <c r="S380" s="5" t="str">
        <f>IF($A380="","",IFERROR(VLOOKUP($A380,Sheet1!$A:$AN,19,0),""))</f>
        <v/>
      </c>
      <c r="T380" s="5" t="str">
        <f t="shared" si="29"/>
        <v/>
      </c>
      <c r="U380" s="5" t="str">
        <f>IF($A380="","",IFERROR(VLOOKUP($A380,Sheet1!$A:$AN,21,0),""))</f>
        <v/>
      </c>
      <c r="V380" s="5" t="str">
        <f>IF($A380="","",IFERROR(SUBSTITUTE(VLOOKUP($A380,Sheet1!$A:$AN,22,0),"族",""),""))</f>
        <v/>
      </c>
      <c r="W380" s="5" t="str">
        <f>IF($A380="","",IFERROR(VLOOKUP($A380,Sheet1!$A:$AN,23,0),""))</f>
        <v/>
      </c>
      <c r="X380" s="5" t="str">
        <f>IF($A380="","",IFERROR(VLOOKUP($A380,Sheet1!$A:$AN,24,0),""))</f>
        <v/>
      </c>
      <c r="Y380" s="5" t="str">
        <f>IF($A380="","",IFERROR(VLOOKUP($A380,Sheet1!$A:$AN,25,0),""))</f>
        <v/>
      </c>
      <c r="AK380" s="5" t="str">
        <f>IF($A380="","",IFERROR(VLOOKUP($A380,Sheet1!$A:$AN,37,0),""))</f>
        <v/>
      </c>
      <c r="AL380" s="13" t="str">
        <f>IF($A380="","",IFERROR(VLOOKUP($A380,Sheet1!$A:$AN,38,0),""))</f>
        <v/>
      </c>
      <c r="AM380" s="13" t="str">
        <f>IF($A380="","",IFERROR(VLOOKUP($A380,Sheet1!$A:$AN,39,0),""))</f>
        <v/>
      </c>
      <c r="AN380" s="13" t="str">
        <f>IF($A380="","",IFERROR(VLOOKUP($A380,Sheet1!$A:$AN,40,0),""))</f>
        <v/>
      </c>
    </row>
    <row r="381" customHeight="1" spans="1:40">
      <c r="A381" s="5" t="str">
        <f>IF(Sheet1!$A381="","",Sheet1!$A381)</f>
        <v/>
      </c>
      <c r="B381" s="5" t="str">
        <f t="shared" si="25"/>
        <v/>
      </c>
      <c r="C381" s="5" t="str">
        <f>IF($A381="","",IFERROR(VLOOKUP($A381,Sheet1!$A:$AN,3,0),""))</f>
        <v/>
      </c>
      <c r="D381" s="5" t="str">
        <f t="shared" si="26"/>
        <v/>
      </c>
      <c r="I381" s="5" t="str">
        <f t="shared" si="27"/>
        <v/>
      </c>
      <c r="M381" s="5" t="str">
        <f t="shared" si="28"/>
        <v/>
      </c>
      <c r="R381" s="5" t="str">
        <f>IF($A381="","",IFERROR(VLOOKUP($A381,Sheet1!A:AN,18,0),""))</f>
        <v/>
      </c>
      <c r="S381" s="5" t="str">
        <f>IF($A381="","",IFERROR(VLOOKUP($A381,Sheet1!$A:$AN,19,0),""))</f>
        <v/>
      </c>
      <c r="T381" s="5" t="str">
        <f t="shared" si="29"/>
        <v/>
      </c>
      <c r="U381" s="5" t="str">
        <f>IF($A381="","",IFERROR(VLOOKUP($A381,Sheet1!$A:$AN,21,0),""))</f>
        <v/>
      </c>
      <c r="V381" s="5" t="str">
        <f>IF($A381="","",IFERROR(SUBSTITUTE(VLOOKUP($A381,Sheet1!$A:$AN,22,0),"族",""),""))</f>
        <v/>
      </c>
      <c r="W381" s="5" t="str">
        <f>IF($A381="","",IFERROR(VLOOKUP($A381,Sheet1!$A:$AN,23,0),""))</f>
        <v/>
      </c>
      <c r="X381" s="5" t="str">
        <f>IF($A381="","",IFERROR(VLOOKUP($A381,Sheet1!$A:$AN,24,0),""))</f>
        <v/>
      </c>
      <c r="Y381" s="5" t="str">
        <f>IF($A381="","",IFERROR(VLOOKUP($A381,Sheet1!$A:$AN,25,0),""))</f>
        <v/>
      </c>
      <c r="AK381" s="5" t="str">
        <f>IF($A381="","",IFERROR(VLOOKUP($A381,Sheet1!$A:$AN,37,0),""))</f>
        <v/>
      </c>
      <c r="AL381" s="13" t="str">
        <f>IF($A381="","",IFERROR(VLOOKUP($A381,Sheet1!$A:$AN,38,0),""))</f>
        <v/>
      </c>
      <c r="AM381" s="13" t="str">
        <f>IF($A381="","",IFERROR(VLOOKUP($A381,Sheet1!$A:$AN,39,0),""))</f>
        <v/>
      </c>
      <c r="AN381" s="13" t="str">
        <f>IF($A381="","",IFERROR(VLOOKUP($A381,Sheet1!$A:$AN,40,0),""))</f>
        <v/>
      </c>
    </row>
    <row r="382" customHeight="1" spans="1:40">
      <c r="A382" s="5" t="str">
        <f>IF(Sheet1!$A382="","",Sheet1!$A382)</f>
        <v/>
      </c>
      <c r="B382" s="5" t="str">
        <f t="shared" si="25"/>
        <v/>
      </c>
      <c r="C382" s="5" t="str">
        <f>IF($A382="","",IFERROR(VLOOKUP($A382,Sheet1!$A:$AN,3,0),""))</f>
        <v/>
      </c>
      <c r="D382" s="5" t="str">
        <f t="shared" si="26"/>
        <v/>
      </c>
      <c r="I382" s="5" t="str">
        <f t="shared" si="27"/>
        <v/>
      </c>
      <c r="M382" s="5" t="str">
        <f t="shared" si="28"/>
        <v/>
      </c>
      <c r="R382" s="5" t="str">
        <f>IF($A382="","",IFERROR(VLOOKUP($A382,Sheet1!A:AN,18,0),""))</f>
        <v/>
      </c>
      <c r="S382" s="5" t="str">
        <f>IF($A382="","",IFERROR(VLOOKUP($A382,Sheet1!$A:$AN,19,0),""))</f>
        <v/>
      </c>
      <c r="T382" s="5" t="str">
        <f t="shared" si="29"/>
        <v/>
      </c>
      <c r="U382" s="5" t="str">
        <f>IF($A382="","",IFERROR(VLOOKUP($A382,Sheet1!$A:$AN,21,0),""))</f>
        <v/>
      </c>
      <c r="V382" s="5" t="str">
        <f>IF($A382="","",IFERROR(SUBSTITUTE(VLOOKUP($A382,Sheet1!$A:$AN,22,0),"族",""),""))</f>
        <v/>
      </c>
      <c r="W382" s="5" t="str">
        <f>IF($A382="","",IFERROR(VLOOKUP($A382,Sheet1!$A:$AN,23,0),""))</f>
        <v/>
      </c>
      <c r="X382" s="5" t="str">
        <f>IF($A382="","",IFERROR(VLOOKUP($A382,Sheet1!$A:$AN,24,0),""))</f>
        <v/>
      </c>
      <c r="Y382" s="5" t="str">
        <f>IF($A382="","",IFERROR(VLOOKUP($A382,Sheet1!$A:$AN,25,0),""))</f>
        <v/>
      </c>
      <c r="AK382" s="5" t="str">
        <f>IF($A382="","",IFERROR(VLOOKUP($A382,Sheet1!$A:$AN,37,0),""))</f>
        <v/>
      </c>
      <c r="AL382" s="13" t="str">
        <f>IF($A382="","",IFERROR(VLOOKUP($A382,Sheet1!$A:$AN,38,0),""))</f>
        <v/>
      </c>
      <c r="AM382" s="13" t="str">
        <f>IF($A382="","",IFERROR(VLOOKUP($A382,Sheet1!$A:$AN,39,0),""))</f>
        <v/>
      </c>
      <c r="AN382" s="13" t="str">
        <f>IF($A382="","",IFERROR(VLOOKUP($A382,Sheet1!$A:$AN,40,0),""))</f>
        <v/>
      </c>
    </row>
    <row r="383" customHeight="1" spans="1:40">
      <c r="A383" s="5" t="str">
        <f>IF(Sheet1!$A383="","",Sheet1!$A383)</f>
        <v/>
      </c>
      <c r="B383" s="5" t="str">
        <f t="shared" si="25"/>
        <v/>
      </c>
      <c r="C383" s="5" t="str">
        <f>IF($A383="","",IFERROR(VLOOKUP($A383,Sheet1!$A:$AN,3,0),""))</f>
        <v/>
      </c>
      <c r="D383" s="5" t="str">
        <f t="shared" si="26"/>
        <v/>
      </c>
      <c r="I383" s="5" t="str">
        <f t="shared" si="27"/>
        <v/>
      </c>
      <c r="M383" s="5" t="str">
        <f t="shared" si="28"/>
        <v/>
      </c>
      <c r="R383" s="5" t="str">
        <f>IF($A383="","",IFERROR(VLOOKUP($A383,Sheet1!A:AN,18,0),""))</f>
        <v/>
      </c>
      <c r="S383" s="5" t="str">
        <f>IF($A383="","",IFERROR(VLOOKUP($A383,Sheet1!$A:$AN,19,0),""))</f>
        <v/>
      </c>
      <c r="T383" s="5" t="str">
        <f t="shared" si="29"/>
        <v/>
      </c>
      <c r="U383" s="5" t="str">
        <f>IF($A383="","",IFERROR(VLOOKUP($A383,Sheet1!$A:$AN,21,0),""))</f>
        <v/>
      </c>
      <c r="V383" s="5" t="str">
        <f>IF($A383="","",IFERROR(SUBSTITUTE(VLOOKUP($A383,Sheet1!$A:$AN,22,0),"族",""),""))</f>
        <v/>
      </c>
      <c r="W383" s="5" t="str">
        <f>IF($A383="","",IFERROR(VLOOKUP($A383,Sheet1!$A:$AN,23,0),""))</f>
        <v/>
      </c>
      <c r="X383" s="5" t="str">
        <f>IF($A383="","",IFERROR(VLOOKUP($A383,Sheet1!$A:$AN,24,0),""))</f>
        <v/>
      </c>
      <c r="Y383" s="5" t="str">
        <f>IF($A383="","",IFERROR(VLOOKUP($A383,Sheet1!$A:$AN,25,0),""))</f>
        <v/>
      </c>
      <c r="AK383" s="5" t="str">
        <f>IF($A383="","",IFERROR(VLOOKUP($A383,Sheet1!$A:$AN,37,0),""))</f>
        <v/>
      </c>
      <c r="AL383" s="13" t="str">
        <f>IF($A383="","",IFERROR(VLOOKUP($A383,Sheet1!$A:$AN,38,0),""))</f>
        <v/>
      </c>
      <c r="AM383" s="13" t="str">
        <f>IF($A383="","",IFERROR(VLOOKUP($A383,Sheet1!$A:$AN,39,0),""))</f>
        <v/>
      </c>
      <c r="AN383" s="13" t="str">
        <f>IF($A383="","",IFERROR(VLOOKUP($A383,Sheet1!$A:$AN,40,0),""))</f>
        <v/>
      </c>
    </row>
    <row r="384" customHeight="1" spans="1:40">
      <c r="A384" s="5" t="str">
        <f>IF(Sheet1!$A384="","",Sheet1!$A384)</f>
        <v/>
      </c>
      <c r="B384" s="5" t="str">
        <f t="shared" si="25"/>
        <v/>
      </c>
      <c r="C384" s="5" t="str">
        <f>IF($A384="","",IFERROR(VLOOKUP($A384,Sheet1!$A:$AN,3,0),""))</f>
        <v/>
      </c>
      <c r="D384" s="5" t="str">
        <f t="shared" si="26"/>
        <v/>
      </c>
      <c r="I384" s="5" t="str">
        <f t="shared" si="27"/>
        <v/>
      </c>
      <c r="M384" s="5" t="str">
        <f t="shared" si="28"/>
        <v/>
      </c>
      <c r="R384" s="5" t="str">
        <f>IF($A384="","",IFERROR(VLOOKUP($A384,Sheet1!A:AN,18,0),""))</f>
        <v/>
      </c>
      <c r="S384" s="5" t="str">
        <f>IF($A384="","",IFERROR(VLOOKUP($A384,Sheet1!$A:$AN,19,0),""))</f>
        <v/>
      </c>
      <c r="T384" s="5" t="str">
        <f t="shared" si="29"/>
        <v/>
      </c>
      <c r="U384" s="5" t="str">
        <f>IF($A384="","",IFERROR(VLOOKUP($A384,Sheet1!$A:$AN,21,0),""))</f>
        <v/>
      </c>
      <c r="V384" s="5" t="str">
        <f>IF($A384="","",IFERROR(SUBSTITUTE(VLOOKUP($A384,Sheet1!$A:$AN,22,0),"族",""),""))</f>
        <v/>
      </c>
      <c r="W384" s="5" t="str">
        <f>IF($A384="","",IFERROR(VLOOKUP($A384,Sheet1!$A:$AN,23,0),""))</f>
        <v/>
      </c>
      <c r="X384" s="5" t="str">
        <f>IF($A384="","",IFERROR(VLOOKUP($A384,Sheet1!$A:$AN,24,0),""))</f>
        <v/>
      </c>
      <c r="Y384" s="5" t="str">
        <f>IF($A384="","",IFERROR(VLOOKUP($A384,Sheet1!$A:$AN,25,0),""))</f>
        <v/>
      </c>
      <c r="AK384" s="5" t="str">
        <f>IF($A384="","",IFERROR(VLOOKUP($A384,Sheet1!$A:$AN,37,0),""))</f>
        <v/>
      </c>
      <c r="AL384" s="13" t="str">
        <f>IF($A384="","",IFERROR(VLOOKUP($A384,Sheet1!$A:$AN,38,0),""))</f>
        <v/>
      </c>
      <c r="AM384" s="13" t="str">
        <f>IF($A384="","",IFERROR(VLOOKUP($A384,Sheet1!$A:$AN,39,0),""))</f>
        <v/>
      </c>
      <c r="AN384" s="13" t="str">
        <f>IF($A384="","",IFERROR(VLOOKUP($A384,Sheet1!$A:$AN,40,0),""))</f>
        <v/>
      </c>
    </row>
    <row r="385" customHeight="1" spans="1:40">
      <c r="A385" s="5" t="str">
        <f>IF(Sheet1!$A385="","",Sheet1!$A385)</f>
        <v/>
      </c>
      <c r="B385" s="5" t="str">
        <f t="shared" si="25"/>
        <v/>
      </c>
      <c r="C385" s="5" t="str">
        <f>IF($A385="","",IFERROR(VLOOKUP($A385,Sheet1!$A:$AN,3,0),""))</f>
        <v/>
      </c>
      <c r="D385" s="5" t="str">
        <f t="shared" si="26"/>
        <v/>
      </c>
      <c r="I385" s="5" t="str">
        <f t="shared" si="27"/>
        <v/>
      </c>
      <c r="M385" s="5" t="str">
        <f t="shared" si="28"/>
        <v/>
      </c>
      <c r="R385" s="5" t="str">
        <f>IF($A385="","",IFERROR(VLOOKUP($A385,Sheet1!A:AN,18,0),""))</f>
        <v/>
      </c>
      <c r="S385" s="5" t="str">
        <f>IF($A385="","",IFERROR(VLOOKUP($A385,Sheet1!$A:$AN,19,0),""))</f>
        <v/>
      </c>
      <c r="T385" s="5" t="str">
        <f t="shared" si="29"/>
        <v/>
      </c>
      <c r="U385" s="5" t="str">
        <f>IF($A385="","",IFERROR(VLOOKUP($A385,Sheet1!$A:$AN,21,0),""))</f>
        <v/>
      </c>
      <c r="V385" s="5" t="str">
        <f>IF($A385="","",IFERROR(SUBSTITUTE(VLOOKUP($A385,Sheet1!$A:$AN,22,0),"族",""),""))</f>
        <v/>
      </c>
      <c r="W385" s="5" t="str">
        <f>IF($A385="","",IFERROR(VLOOKUP($A385,Sheet1!$A:$AN,23,0),""))</f>
        <v/>
      </c>
      <c r="X385" s="5" t="str">
        <f>IF($A385="","",IFERROR(VLOOKUP($A385,Sheet1!$A:$AN,24,0),""))</f>
        <v/>
      </c>
      <c r="Y385" s="5" t="str">
        <f>IF($A385="","",IFERROR(VLOOKUP($A385,Sheet1!$A:$AN,25,0),""))</f>
        <v/>
      </c>
      <c r="AK385" s="5" t="str">
        <f>IF($A385="","",IFERROR(VLOOKUP($A385,Sheet1!$A:$AN,37,0),""))</f>
        <v/>
      </c>
      <c r="AL385" s="13" t="str">
        <f>IF($A385="","",IFERROR(VLOOKUP($A385,Sheet1!$A:$AN,38,0),""))</f>
        <v/>
      </c>
      <c r="AM385" s="13" t="str">
        <f>IF($A385="","",IFERROR(VLOOKUP($A385,Sheet1!$A:$AN,39,0),""))</f>
        <v/>
      </c>
      <c r="AN385" s="13" t="str">
        <f>IF($A385="","",IFERROR(VLOOKUP($A385,Sheet1!$A:$AN,40,0),""))</f>
        <v/>
      </c>
    </row>
    <row r="386" customHeight="1" spans="1:40">
      <c r="A386" s="5" t="str">
        <f>IF(Sheet1!$A386="","",Sheet1!$A386)</f>
        <v/>
      </c>
      <c r="B386" s="5" t="str">
        <f t="shared" si="25"/>
        <v/>
      </c>
      <c r="C386" s="5" t="str">
        <f>IF($A386="","",IFERROR(VLOOKUP($A386,Sheet1!$A:$AN,3,0),""))</f>
        <v/>
      </c>
      <c r="D386" s="5" t="str">
        <f t="shared" si="26"/>
        <v/>
      </c>
      <c r="I386" s="5" t="str">
        <f t="shared" si="27"/>
        <v/>
      </c>
      <c r="M386" s="5" t="str">
        <f t="shared" si="28"/>
        <v/>
      </c>
      <c r="R386" s="5" t="str">
        <f>IF($A386="","",IFERROR(VLOOKUP($A386,Sheet1!A:AN,18,0),""))</f>
        <v/>
      </c>
      <c r="S386" s="5" t="str">
        <f>IF($A386="","",IFERROR(VLOOKUP($A386,Sheet1!$A:$AN,19,0),""))</f>
        <v/>
      </c>
      <c r="T386" s="5" t="str">
        <f t="shared" si="29"/>
        <v/>
      </c>
      <c r="U386" s="5" t="str">
        <f>IF($A386="","",IFERROR(VLOOKUP($A386,Sheet1!$A:$AN,21,0),""))</f>
        <v/>
      </c>
      <c r="V386" s="5" t="str">
        <f>IF($A386="","",IFERROR(SUBSTITUTE(VLOOKUP($A386,Sheet1!$A:$AN,22,0),"族",""),""))</f>
        <v/>
      </c>
      <c r="W386" s="5" t="str">
        <f>IF($A386="","",IFERROR(VLOOKUP($A386,Sheet1!$A:$AN,23,0),""))</f>
        <v/>
      </c>
      <c r="X386" s="5" t="str">
        <f>IF($A386="","",IFERROR(VLOOKUP($A386,Sheet1!$A:$AN,24,0),""))</f>
        <v/>
      </c>
      <c r="Y386" s="5" t="str">
        <f>IF($A386="","",IFERROR(VLOOKUP($A386,Sheet1!$A:$AN,25,0),""))</f>
        <v/>
      </c>
      <c r="AK386" s="5" t="str">
        <f>IF($A386="","",IFERROR(VLOOKUP($A386,Sheet1!$A:$AN,37,0),""))</f>
        <v/>
      </c>
      <c r="AL386" s="13" t="str">
        <f>IF($A386="","",IFERROR(VLOOKUP($A386,Sheet1!$A:$AN,38,0),""))</f>
        <v/>
      </c>
      <c r="AM386" s="13" t="str">
        <f>IF($A386="","",IFERROR(VLOOKUP($A386,Sheet1!$A:$AN,39,0),""))</f>
        <v/>
      </c>
      <c r="AN386" s="13" t="str">
        <f>IF($A386="","",IFERROR(VLOOKUP($A386,Sheet1!$A:$AN,40,0),""))</f>
        <v/>
      </c>
    </row>
    <row r="387" customHeight="1" spans="1:40">
      <c r="A387" s="5" t="str">
        <f>IF(Sheet1!$A387="","",Sheet1!$A387)</f>
        <v/>
      </c>
      <c r="B387" s="5" t="str">
        <f t="shared" ref="B387:B450" si="30">IF($A387="","","企业")</f>
        <v/>
      </c>
      <c r="C387" s="5" t="str">
        <f>IF($A387="","",IFERROR(VLOOKUP($A387,Sheet1!$A:$AN,3,0),""))</f>
        <v/>
      </c>
      <c r="D387" s="5" t="str">
        <f t="shared" ref="D387:D450" si="31">IF($C387="","","营业执照")</f>
        <v/>
      </c>
      <c r="I387" s="5" t="str">
        <f t="shared" ref="I387:I450" si="32">IF($C387="","","身份证")</f>
        <v/>
      </c>
      <c r="M387" s="5" t="str">
        <f t="shared" ref="M387:M450" si="33">IF($C387="","","自然人")</f>
        <v/>
      </c>
      <c r="R387" s="5" t="str">
        <f>IF($A387="","",IFERROR(VLOOKUP($A387,Sheet1!A:AN,18,0),""))</f>
        <v/>
      </c>
      <c r="S387" s="5" t="str">
        <f>IF($A387="","",IFERROR(VLOOKUP($A387,Sheet1!$A:$AN,19,0),""))</f>
        <v/>
      </c>
      <c r="T387" s="5" t="str">
        <f t="shared" ref="T387:T450" si="34">IF($S387="","","身份证")</f>
        <v/>
      </c>
      <c r="U387" s="5" t="str">
        <f>IF($A387="","",IFERROR(VLOOKUP($A387,Sheet1!$A:$AN,21,0),""))</f>
        <v/>
      </c>
      <c r="V387" s="5" t="str">
        <f>IF($A387="","",IFERROR(SUBSTITUTE(VLOOKUP($A387,Sheet1!$A:$AN,22,0),"族",""),""))</f>
        <v/>
      </c>
      <c r="W387" s="5" t="str">
        <f>IF($A387="","",IFERROR(VLOOKUP($A387,Sheet1!$A:$AN,23,0),""))</f>
        <v/>
      </c>
      <c r="X387" s="5" t="str">
        <f>IF($A387="","",IFERROR(VLOOKUP($A387,Sheet1!$A:$AN,24,0),""))</f>
        <v/>
      </c>
      <c r="Y387" s="5" t="str">
        <f>IF($A387="","",IFERROR(VLOOKUP($A387,Sheet1!$A:$AN,25,0),""))</f>
        <v/>
      </c>
      <c r="AK387" s="5" t="str">
        <f>IF($A387="","",IFERROR(VLOOKUP($A387,Sheet1!$A:$AN,37,0),""))</f>
        <v/>
      </c>
      <c r="AL387" s="13" t="str">
        <f>IF($A387="","",IFERROR(VLOOKUP($A387,Sheet1!$A:$AN,38,0),""))</f>
        <v/>
      </c>
      <c r="AM387" s="13" t="str">
        <f>IF($A387="","",IFERROR(VLOOKUP($A387,Sheet1!$A:$AN,39,0),""))</f>
        <v/>
      </c>
      <c r="AN387" s="13" t="str">
        <f>IF($A387="","",IFERROR(VLOOKUP($A387,Sheet1!$A:$AN,40,0),""))</f>
        <v/>
      </c>
    </row>
    <row r="388" customHeight="1" spans="1:40">
      <c r="A388" s="5" t="str">
        <f>IF(Sheet1!$A388="","",Sheet1!$A388)</f>
        <v/>
      </c>
      <c r="B388" s="5" t="str">
        <f t="shared" si="30"/>
        <v/>
      </c>
      <c r="C388" s="5" t="str">
        <f>IF($A388="","",IFERROR(VLOOKUP($A388,Sheet1!$A:$AN,3,0),""))</f>
        <v/>
      </c>
      <c r="D388" s="5" t="str">
        <f t="shared" si="31"/>
        <v/>
      </c>
      <c r="I388" s="5" t="str">
        <f t="shared" si="32"/>
        <v/>
      </c>
      <c r="M388" s="5" t="str">
        <f t="shared" si="33"/>
        <v/>
      </c>
      <c r="R388" s="5" t="str">
        <f>IF($A388="","",IFERROR(VLOOKUP($A388,Sheet1!A:AN,18,0),""))</f>
        <v/>
      </c>
      <c r="S388" s="5" t="str">
        <f>IF($A388="","",IFERROR(VLOOKUP($A388,Sheet1!$A:$AN,19,0),""))</f>
        <v/>
      </c>
      <c r="T388" s="5" t="str">
        <f t="shared" si="34"/>
        <v/>
      </c>
      <c r="U388" s="5" t="str">
        <f>IF($A388="","",IFERROR(VLOOKUP($A388,Sheet1!$A:$AN,21,0),""))</f>
        <v/>
      </c>
      <c r="V388" s="5" t="str">
        <f>IF($A388="","",IFERROR(SUBSTITUTE(VLOOKUP($A388,Sheet1!$A:$AN,22,0),"族",""),""))</f>
        <v/>
      </c>
      <c r="W388" s="5" t="str">
        <f>IF($A388="","",IFERROR(VLOOKUP($A388,Sheet1!$A:$AN,23,0),""))</f>
        <v/>
      </c>
      <c r="X388" s="5" t="str">
        <f>IF($A388="","",IFERROR(VLOOKUP($A388,Sheet1!$A:$AN,24,0),""))</f>
        <v/>
      </c>
      <c r="Y388" s="5" t="str">
        <f>IF($A388="","",IFERROR(VLOOKUP($A388,Sheet1!$A:$AN,25,0),""))</f>
        <v/>
      </c>
      <c r="AK388" s="5" t="str">
        <f>IF($A388="","",IFERROR(VLOOKUP($A388,Sheet1!$A:$AN,37,0),""))</f>
        <v/>
      </c>
      <c r="AL388" s="13" t="str">
        <f>IF($A388="","",IFERROR(VLOOKUP($A388,Sheet1!$A:$AN,38,0),""))</f>
        <v/>
      </c>
      <c r="AM388" s="13" t="str">
        <f>IF($A388="","",IFERROR(VLOOKUP($A388,Sheet1!$A:$AN,39,0),""))</f>
        <v/>
      </c>
      <c r="AN388" s="13" t="str">
        <f>IF($A388="","",IFERROR(VLOOKUP($A388,Sheet1!$A:$AN,40,0),""))</f>
        <v/>
      </c>
    </row>
    <row r="389" customHeight="1" spans="1:40">
      <c r="A389" s="5" t="str">
        <f>IF(Sheet1!$A389="","",Sheet1!$A389)</f>
        <v/>
      </c>
      <c r="B389" s="5" t="str">
        <f t="shared" si="30"/>
        <v/>
      </c>
      <c r="C389" s="5" t="str">
        <f>IF($A389="","",IFERROR(VLOOKUP($A389,Sheet1!$A:$AN,3,0),""))</f>
        <v/>
      </c>
      <c r="D389" s="5" t="str">
        <f t="shared" si="31"/>
        <v/>
      </c>
      <c r="I389" s="5" t="str">
        <f t="shared" si="32"/>
        <v/>
      </c>
      <c r="M389" s="5" t="str">
        <f t="shared" si="33"/>
        <v/>
      </c>
      <c r="R389" s="5" t="str">
        <f>IF($A389="","",IFERROR(VLOOKUP($A389,Sheet1!A:AN,18,0),""))</f>
        <v/>
      </c>
      <c r="S389" s="5" t="str">
        <f>IF($A389="","",IFERROR(VLOOKUP($A389,Sheet1!$A:$AN,19,0),""))</f>
        <v/>
      </c>
      <c r="T389" s="5" t="str">
        <f t="shared" si="34"/>
        <v/>
      </c>
      <c r="U389" s="5" t="str">
        <f>IF($A389="","",IFERROR(VLOOKUP($A389,Sheet1!$A:$AN,21,0),""))</f>
        <v/>
      </c>
      <c r="V389" s="5" t="str">
        <f>IF($A389="","",IFERROR(SUBSTITUTE(VLOOKUP($A389,Sheet1!$A:$AN,22,0),"族",""),""))</f>
        <v/>
      </c>
      <c r="W389" s="5" t="str">
        <f>IF($A389="","",IFERROR(VLOOKUP($A389,Sheet1!$A:$AN,23,0),""))</f>
        <v/>
      </c>
      <c r="X389" s="5" t="str">
        <f>IF($A389="","",IFERROR(VLOOKUP($A389,Sheet1!$A:$AN,24,0),""))</f>
        <v/>
      </c>
      <c r="Y389" s="5" t="str">
        <f>IF($A389="","",IFERROR(VLOOKUP($A389,Sheet1!$A:$AN,25,0),""))</f>
        <v/>
      </c>
      <c r="AK389" s="5" t="str">
        <f>IF($A389="","",IFERROR(VLOOKUP($A389,Sheet1!$A:$AN,37,0),""))</f>
        <v/>
      </c>
      <c r="AL389" s="13" t="str">
        <f>IF($A389="","",IFERROR(VLOOKUP($A389,Sheet1!$A:$AN,38,0),""))</f>
        <v/>
      </c>
      <c r="AM389" s="13" t="str">
        <f>IF($A389="","",IFERROR(VLOOKUP($A389,Sheet1!$A:$AN,39,0),""))</f>
        <v/>
      </c>
      <c r="AN389" s="13" t="str">
        <f>IF($A389="","",IFERROR(VLOOKUP($A389,Sheet1!$A:$AN,40,0),""))</f>
        <v/>
      </c>
    </row>
    <row r="390" customHeight="1" spans="1:40">
      <c r="A390" s="5" t="str">
        <f>IF(Sheet1!$A390="","",Sheet1!$A390)</f>
        <v/>
      </c>
      <c r="B390" s="5" t="str">
        <f t="shared" si="30"/>
        <v/>
      </c>
      <c r="C390" s="5" t="str">
        <f>IF($A390="","",IFERROR(VLOOKUP($A390,Sheet1!$A:$AN,3,0),""))</f>
        <v/>
      </c>
      <c r="D390" s="5" t="str">
        <f t="shared" si="31"/>
        <v/>
      </c>
      <c r="I390" s="5" t="str">
        <f t="shared" si="32"/>
        <v/>
      </c>
      <c r="M390" s="5" t="str">
        <f t="shared" si="33"/>
        <v/>
      </c>
      <c r="R390" s="5" t="str">
        <f>IF($A390="","",IFERROR(VLOOKUP($A390,Sheet1!A:AN,18,0),""))</f>
        <v/>
      </c>
      <c r="S390" s="5" t="str">
        <f>IF($A390="","",IFERROR(VLOOKUP($A390,Sheet1!$A:$AN,19,0),""))</f>
        <v/>
      </c>
      <c r="T390" s="5" t="str">
        <f t="shared" si="34"/>
        <v/>
      </c>
      <c r="U390" s="5" t="str">
        <f>IF($A390="","",IFERROR(VLOOKUP($A390,Sheet1!$A:$AN,21,0),""))</f>
        <v/>
      </c>
      <c r="V390" s="5" t="str">
        <f>IF($A390="","",IFERROR(SUBSTITUTE(VLOOKUP($A390,Sheet1!$A:$AN,22,0),"族",""),""))</f>
        <v/>
      </c>
      <c r="W390" s="5" t="str">
        <f>IF($A390="","",IFERROR(VLOOKUP($A390,Sheet1!$A:$AN,23,0),""))</f>
        <v/>
      </c>
      <c r="X390" s="5" t="str">
        <f>IF($A390="","",IFERROR(VLOOKUP($A390,Sheet1!$A:$AN,24,0),""))</f>
        <v/>
      </c>
      <c r="Y390" s="5" t="str">
        <f>IF($A390="","",IFERROR(VLOOKUP($A390,Sheet1!$A:$AN,25,0),""))</f>
        <v/>
      </c>
      <c r="AK390" s="5" t="str">
        <f>IF($A390="","",IFERROR(VLOOKUP($A390,Sheet1!$A:$AN,37,0),""))</f>
        <v/>
      </c>
      <c r="AL390" s="13" t="str">
        <f>IF($A390="","",IFERROR(VLOOKUP($A390,Sheet1!$A:$AN,38,0),""))</f>
        <v/>
      </c>
      <c r="AM390" s="13" t="str">
        <f>IF($A390="","",IFERROR(VLOOKUP($A390,Sheet1!$A:$AN,39,0),""))</f>
        <v/>
      </c>
      <c r="AN390" s="13" t="str">
        <f>IF($A390="","",IFERROR(VLOOKUP($A390,Sheet1!$A:$AN,40,0),""))</f>
        <v/>
      </c>
    </row>
    <row r="391" customHeight="1" spans="1:40">
      <c r="A391" s="5" t="str">
        <f>IF(Sheet1!$A391="","",Sheet1!$A391)</f>
        <v/>
      </c>
      <c r="B391" s="5" t="str">
        <f t="shared" si="30"/>
        <v/>
      </c>
      <c r="C391" s="5" t="str">
        <f>IF($A391="","",IFERROR(VLOOKUP($A391,Sheet1!$A:$AN,3,0),""))</f>
        <v/>
      </c>
      <c r="D391" s="5" t="str">
        <f t="shared" si="31"/>
        <v/>
      </c>
      <c r="I391" s="5" t="str">
        <f t="shared" si="32"/>
        <v/>
      </c>
      <c r="M391" s="5" t="str">
        <f t="shared" si="33"/>
        <v/>
      </c>
      <c r="R391" s="5" t="str">
        <f>IF($A391="","",IFERROR(VLOOKUP($A391,Sheet1!A:AN,18,0),""))</f>
        <v/>
      </c>
      <c r="S391" s="5" t="str">
        <f>IF($A391="","",IFERROR(VLOOKUP($A391,Sheet1!$A:$AN,19,0),""))</f>
        <v/>
      </c>
      <c r="T391" s="5" t="str">
        <f t="shared" si="34"/>
        <v/>
      </c>
      <c r="U391" s="5" t="str">
        <f>IF($A391="","",IFERROR(VLOOKUP($A391,Sheet1!$A:$AN,21,0),""))</f>
        <v/>
      </c>
      <c r="V391" s="5" t="str">
        <f>IF($A391="","",IFERROR(SUBSTITUTE(VLOOKUP($A391,Sheet1!$A:$AN,22,0),"族",""),""))</f>
        <v/>
      </c>
      <c r="W391" s="5" t="str">
        <f>IF($A391="","",IFERROR(VLOOKUP($A391,Sheet1!$A:$AN,23,0),""))</f>
        <v/>
      </c>
      <c r="X391" s="5" t="str">
        <f>IF($A391="","",IFERROR(VLOOKUP($A391,Sheet1!$A:$AN,24,0),""))</f>
        <v/>
      </c>
      <c r="Y391" s="5" t="str">
        <f>IF($A391="","",IFERROR(VLOOKUP($A391,Sheet1!$A:$AN,25,0),""))</f>
        <v/>
      </c>
      <c r="AK391" s="5" t="str">
        <f>IF($A391="","",IFERROR(VLOOKUP($A391,Sheet1!$A:$AN,37,0),""))</f>
        <v/>
      </c>
      <c r="AL391" s="13" t="str">
        <f>IF($A391="","",IFERROR(VLOOKUP($A391,Sheet1!$A:$AN,38,0),""))</f>
        <v/>
      </c>
      <c r="AM391" s="13" t="str">
        <f>IF($A391="","",IFERROR(VLOOKUP($A391,Sheet1!$A:$AN,39,0),""))</f>
        <v/>
      </c>
      <c r="AN391" s="13" t="str">
        <f>IF($A391="","",IFERROR(VLOOKUP($A391,Sheet1!$A:$AN,40,0),""))</f>
        <v/>
      </c>
    </row>
    <row r="392" customHeight="1" spans="1:40">
      <c r="A392" s="5" t="str">
        <f>IF(Sheet1!$A392="","",Sheet1!$A392)</f>
        <v/>
      </c>
      <c r="B392" s="5" t="str">
        <f t="shared" si="30"/>
        <v/>
      </c>
      <c r="C392" s="5" t="str">
        <f>IF($A392="","",IFERROR(VLOOKUP($A392,Sheet1!$A:$AN,3,0),""))</f>
        <v/>
      </c>
      <c r="D392" s="5" t="str">
        <f t="shared" si="31"/>
        <v/>
      </c>
      <c r="I392" s="5" t="str">
        <f t="shared" si="32"/>
        <v/>
      </c>
      <c r="M392" s="5" t="str">
        <f t="shared" si="33"/>
        <v/>
      </c>
      <c r="R392" s="5" t="str">
        <f>IF($A392="","",IFERROR(VLOOKUP($A392,Sheet1!A:AN,18,0),""))</f>
        <v/>
      </c>
      <c r="S392" s="5" t="str">
        <f>IF($A392="","",IFERROR(VLOOKUP($A392,Sheet1!$A:$AN,19,0),""))</f>
        <v/>
      </c>
      <c r="T392" s="5" t="str">
        <f t="shared" si="34"/>
        <v/>
      </c>
      <c r="U392" s="5" t="str">
        <f>IF($A392="","",IFERROR(VLOOKUP($A392,Sheet1!$A:$AN,21,0),""))</f>
        <v/>
      </c>
      <c r="V392" s="5" t="str">
        <f>IF($A392="","",IFERROR(SUBSTITUTE(VLOOKUP($A392,Sheet1!$A:$AN,22,0),"族",""),""))</f>
        <v/>
      </c>
      <c r="W392" s="5" t="str">
        <f>IF($A392="","",IFERROR(VLOOKUP($A392,Sheet1!$A:$AN,23,0),""))</f>
        <v/>
      </c>
      <c r="X392" s="5" t="str">
        <f>IF($A392="","",IFERROR(VLOOKUP($A392,Sheet1!$A:$AN,24,0),""))</f>
        <v/>
      </c>
      <c r="Y392" s="5" t="str">
        <f>IF($A392="","",IFERROR(VLOOKUP($A392,Sheet1!$A:$AN,25,0),""))</f>
        <v/>
      </c>
      <c r="AK392" s="5" t="str">
        <f>IF($A392="","",IFERROR(VLOOKUP($A392,Sheet1!$A:$AN,37,0),""))</f>
        <v/>
      </c>
      <c r="AL392" s="13" t="str">
        <f>IF($A392="","",IFERROR(VLOOKUP($A392,Sheet1!$A:$AN,38,0),""))</f>
        <v/>
      </c>
      <c r="AM392" s="13" t="str">
        <f>IF($A392="","",IFERROR(VLOOKUP($A392,Sheet1!$A:$AN,39,0),""))</f>
        <v/>
      </c>
      <c r="AN392" s="13" t="str">
        <f>IF($A392="","",IFERROR(VLOOKUP($A392,Sheet1!$A:$AN,40,0),""))</f>
        <v/>
      </c>
    </row>
    <row r="393" customHeight="1" spans="1:40">
      <c r="A393" s="5" t="str">
        <f>IF(Sheet1!$A393="","",Sheet1!$A393)</f>
        <v/>
      </c>
      <c r="B393" s="5" t="str">
        <f t="shared" si="30"/>
        <v/>
      </c>
      <c r="C393" s="5" t="str">
        <f>IF($A393="","",IFERROR(VLOOKUP($A393,Sheet1!$A:$AN,3,0),""))</f>
        <v/>
      </c>
      <c r="D393" s="5" t="str">
        <f t="shared" si="31"/>
        <v/>
      </c>
      <c r="I393" s="5" t="str">
        <f t="shared" si="32"/>
        <v/>
      </c>
      <c r="M393" s="5" t="str">
        <f t="shared" si="33"/>
        <v/>
      </c>
      <c r="R393" s="5" t="str">
        <f>IF($A393="","",IFERROR(VLOOKUP($A393,Sheet1!A:AN,18,0),""))</f>
        <v/>
      </c>
      <c r="S393" s="5" t="str">
        <f>IF($A393="","",IFERROR(VLOOKUP($A393,Sheet1!$A:$AN,19,0),""))</f>
        <v/>
      </c>
      <c r="T393" s="5" t="str">
        <f t="shared" si="34"/>
        <v/>
      </c>
      <c r="U393" s="5" t="str">
        <f>IF($A393="","",IFERROR(VLOOKUP($A393,Sheet1!$A:$AN,21,0),""))</f>
        <v/>
      </c>
      <c r="V393" s="5" t="str">
        <f>IF($A393="","",IFERROR(SUBSTITUTE(VLOOKUP($A393,Sheet1!$A:$AN,22,0),"族",""),""))</f>
        <v/>
      </c>
      <c r="W393" s="5" t="str">
        <f>IF($A393="","",IFERROR(VLOOKUP($A393,Sheet1!$A:$AN,23,0),""))</f>
        <v/>
      </c>
      <c r="X393" s="5" t="str">
        <f>IF($A393="","",IFERROR(VLOOKUP($A393,Sheet1!$A:$AN,24,0),""))</f>
        <v/>
      </c>
      <c r="Y393" s="5" t="str">
        <f>IF($A393="","",IFERROR(VLOOKUP($A393,Sheet1!$A:$AN,25,0),""))</f>
        <v/>
      </c>
      <c r="AK393" s="5" t="str">
        <f>IF($A393="","",IFERROR(VLOOKUP($A393,Sheet1!$A:$AN,37,0),""))</f>
        <v/>
      </c>
      <c r="AL393" s="13" t="str">
        <f>IF($A393="","",IFERROR(VLOOKUP($A393,Sheet1!$A:$AN,38,0),""))</f>
        <v/>
      </c>
      <c r="AM393" s="13" t="str">
        <f>IF($A393="","",IFERROR(VLOOKUP($A393,Sheet1!$A:$AN,39,0),""))</f>
        <v/>
      </c>
      <c r="AN393" s="13" t="str">
        <f>IF($A393="","",IFERROR(VLOOKUP($A393,Sheet1!$A:$AN,40,0),""))</f>
        <v/>
      </c>
    </row>
    <row r="394" customHeight="1" spans="1:40">
      <c r="A394" s="5" t="str">
        <f>IF(Sheet1!$A394="","",Sheet1!$A394)</f>
        <v/>
      </c>
      <c r="B394" s="5" t="str">
        <f t="shared" si="30"/>
        <v/>
      </c>
      <c r="C394" s="5" t="str">
        <f>IF($A394="","",IFERROR(VLOOKUP($A394,Sheet1!$A:$AN,3,0),""))</f>
        <v/>
      </c>
      <c r="D394" s="5" t="str">
        <f t="shared" si="31"/>
        <v/>
      </c>
      <c r="I394" s="5" t="str">
        <f t="shared" si="32"/>
        <v/>
      </c>
      <c r="M394" s="5" t="str">
        <f t="shared" si="33"/>
        <v/>
      </c>
      <c r="R394" s="5" t="str">
        <f>IF($A394="","",IFERROR(VLOOKUP($A394,Sheet1!A:AN,18,0),""))</f>
        <v/>
      </c>
      <c r="S394" s="5" t="str">
        <f>IF($A394="","",IFERROR(VLOOKUP($A394,Sheet1!$A:$AN,19,0),""))</f>
        <v/>
      </c>
      <c r="T394" s="5" t="str">
        <f t="shared" si="34"/>
        <v/>
      </c>
      <c r="U394" s="5" t="str">
        <f>IF($A394="","",IFERROR(VLOOKUP($A394,Sheet1!$A:$AN,21,0),""))</f>
        <v/>
      </c>
      <c r="V394" s="5" t="str">
        <f>IF($A394="","",IFERROR(SUBSTITUTE(VLOOKUP($A394,Sheet1!$A:$AN,22,0),"族",""),""))</f>
        <v/>
      </c>
      <c r="W394" s="5" t="str">
        <f>IF($A394="","",IFERROR(VLOOKUP($A394,Sheet1!$A:$AN,23,0),""))</f>
        <v/>
      </c>
      <c r="X394" s="5" t="str">
        <f>IF($A394="","",IFERROR(VLOOKUP($A394,Sheet1!$A:$AN,24,0),""))</f>
        <v/>
      </c>
      <c r="Y394" s="5" t="str">
        <f>IF($A394="","",IFERROR(VLOOKUP($A394,Sheet1!$A:$AN,25,0),""))</f>
        <v/>
      </c>
      <c r="AK394" s="5" t="str">
        <f>IF($A394="","",IFERROR(VLOOKUP($A394,Sheet1!$A:$AN,37,0),""))</f>
        <v/>
      </c>
      <c r="AL394" s="13" t="str">
        <f>IF($A394="","",IFERROR(VLOOKUP($A394,Sheet1!$A:$AN,38,0),""))</f>
        <v/>
      </c>
      <c r="AM394" s="13" t="str">
        <f>IF($A394="","",IFERROR(VLOOKUP($A394,Sheet1!$A:$AN,39,0),""))</f>
        <v/>
      </c>
      <c r="AN394" s="13" t="str">
        <f>IF($A394="","",IFERROR(VLOOKUP($A394,Sheet1!$A:$AN,40,0),""))</f>
        <v/>
      </c>
    </row>
    <row r="395" customHeight="1" spans="1:40">
      <c r="A395" s="5" t="str">
        <f>IF(Sheet1!$A395="","",Sheet1!$A395)</f>
        <v/>
      </c>
      <c r="B395" s="5" t="str">
        <f t="shared" si="30"/>
        <v/>
      </c>
      <c r="C395" s="5" t="str">
        <f>IF($A395="","",IFERROR(VLOOKUP($A395,Sheet1!$A:$AN,3,0),""))</f>
        <v/>
      </c>
      <c r="D395" s="5" t="str">
        <f t="shared" si="31"/>
        <v/>
      </c>
      <c r="I395" s="5" t="str">
        <f t="shared" si="32"/>
        <v/>
      </c>
      <c r="M395" s="5" t="str">
        <f t="shared" si="33"/>
        <v/>
      </c>
      <c r="R395" s="5" t="str">
        <f>IF($A395="","",IFERROR(VLOOKUP($A395,Sheet1!A:AN,18,0),""))</f>
        <v/>
      </c>
      <c r="S395" s="5" t="str">
        <f>IF($A395="","",IFERROR(VLOOKUP($A395,Sheet1!$A:$AN,19,0),""))</f>
        <v/>
      </c>
      <c r="T395" s="5" t="str">
        <f t="shared" si="34"/>
        <v/>
      </c>
      <c r="U395" s="5" t="str">
        <f>IF($A395="","",IFERROR(VLOOKUP($A395,Sheet1!$A:$AN,21,0),""))</f>
        <v/>
      </c>
      <c r="V395" s="5" t="str">
        <f>IF($A395="","",IFERROR(SUBSTITUTE(VLOOKUP($A395,Sheet1!$A:$AN,22,0),"族",""),""))</f>
        <v/>
      </c>
      <c r="W395" s="5" t="str">
        <f>IF($A395="","",IFERROR(VLOOKUP($A395,Sheet1!$A:$AN,23,0),""))</f>
        <v/>
      </c>
      <c r="X395" s="5" t="str">
        <f>IF($A395="","",IFERROR(VLOOKUP($A395,Sheet1!$A:$AN,24,0),""))</f>
        <v/>
      </c>
      <c r="Y395" s="5" t="str">
        <f>IF($A395="","",IFERROR(VLOOKUP($A395,Sheet1!$A:$AN,25,0),""))</f>
        <v/>
      </c>
      <c r="AK395" s="5" t="str">
        <f>IF($A395="","",IFERROR(VLOOKUP($A395,Sheet1!$A:$AN,37,0),""))</f>
        <v/>
      </c>
      <c r="AL395" s="13" t="str">
        <f>IF($A395="","",IFERROR(VLOOKUP($A395,Sheet1!$A:$AN,38,0),""))</f>
        <v/>
      </c>
      <c r="AM395" s="13" t="str">
        <f>IF($A395="","",IFERROR(VLOOKUP($A395,Sheet1!$A:$AN,39,0),""))</f>
        <v/>
      </c>
      <c r="AN395" s="13" t="str">
        <f>IF($A395="","",IFERROR(VLOOKUP($A395,Sheet1!$A:$AN,40,0),""))</f>
        <v/>
      </c>
    </row>
    <row r="396" customHeight="1" spans="1:40">
      <c r="A396" s="5" t="str">
        <f>IF(Sheet1!$A396="","",Sheet1!$A396)</f>
        <v/>
      </c>
      <c r="B396" s="5" t="str">
        <f t="shared" si="30"/>
        <v/>
      </c>
      <c r="C396" s="5" t="str">
        <f>IF($A396="","",IFERROR(VLOOKUP($A396,Sheet1!$A:$AN,3,0),""))</f>
        <v/>
      </c>
      <c r="D396" s="5" t="str">
        <f t="shared" si="31"/>
        <v/>
      </c>
      <c r="I396" s="5" t="str">
        <f t="shared" si="32"/>
        <v/>
      </c>
      <c r="M396" s="5" t="str">
        <f t="shared" si="33"/>
        <v/>
      </c>
      <c r="R396" s="5" t="str">
        <f>IF($A396="","",IFERROR(VLOOKUP($A396,Sheet1!A:AN,18,0),""))</f>
        <v/>
      </c>
      <c r="S396" s="5" t="str">
        <f>IF($A396="","",IFERROR(VLOOKUP($A396,Sheet1!$A:$AN,19,0),""))</f>
        <v/>
      </c>
      <c r="T396" s="5" t="str">
        <f t="shared" si="34"/>
        <v/>
      </c>
      <c r="U396" s="5" t="str">
        <f>IF($A396="","",IFERROR(VLOOKUP($A396,Sheet1!$A:$AN,21,0),""))</f>
        <v/>
      </c>
      <c r="V396" s="5" t="str">
        <f>IF($A396="","",IFERROR(SUBSTITUTE(VLOOKUP($A396,Sheet1!$A:$AN,22,0),"族",""),""))</f>
        <v/>
      </c>
      <c r="W396" s="5" t="str">
        <f>IF($A396="","",IFERROR(VLOOKUP($A396,Sheet1!$A:$AN,23,0),""))</f>
        <v/>
      </c>
      <c r="X396" s="5" t="str">
        <f>IF($A396="","",IFERROR(VLOOKUP($A396,Sheet1!$A:$AN,24,0),""))</f>
        <v/>
      </c>
      <c r="Y396" s="5" t="str">
        <f>IF($A396="","",IFERROR(VLOOKUP($A396,Sheet1!$A:$AN,25,0),""))</f>
        <v/>
      </c>
      <c r="AK396" s="5" t="str">
        <f>IF($A396="","",IFERROR(VLOOKUP($A396,Sheet1!$A:$AN,37,0),""))</f>
        <v/>
      </c>
      <c r="AL396" s="13" t="str">
        <f>IF($A396="","",IFERROR(VLOOKUP($A396,Sheet1!$A:$AN,38,0),""))</f>
        <v/>
      </c>
      <c r="AM396" s="13" t="str">
        <f>IF($A396="","",IFERROR(VLOOKUP($A396,Sheet1!$A:$AN,39,0),""))</f>
        <v/>
      </c>
      <c r="AN396" s="13" t="str">
        <f>IF($A396="","",IFERROR(VLOOKUP($A396,Sheet1!$A:$AN,40,0),""))</f>
        <v/>
      </c>
    </row>
    <row r="397" customHeight="1" spans="1:40">
      <c r="A397" s="5" t="str">
        <f>IF(Sheet1!$A397="","",Sheet1!$A397)</f>
        <v/>
      </c>
      <c r="B397" s="5" t="str">
        <f t="shared" si="30"/>
        <v/>
      </c>
      <c r="C397" s="5" t="str">
        <f>IF($A397="","",IFERROR(VLOOKUP($A397,Sheet1!$A:$AN,3,0),""))</f>
        <v/>
      </c>
      <c r="D397" s="5" t="str">
        <f t="shared" si="31"/>
        <v/>
      </c>
      <c r="I397" s="5" t="str">
        <f t="shared" si="32"/>
        <v/>
      </c>
      <c r="M397" s="5" t="str">
        <f t="shared" si="33"/>
        <v/>
      </c>
      <c r="R397" s="5" t="str">
        <f>IF($A397="","",IFERROR(VLOOKUP($A397,Sheet1!A:AN,18,0),""))</f>
        <v/>
      </c>
      <c r="S397" s="5" t="str">
        <f>IF($A397="","",IFERROR(VLOOKUP($A397,Sheet1!$A:$AN,19,0),""))</f>
        <v/>
      </c>
      <c r="T397" s="5" t="str">
        <f t="shared" si="34"/>
        <v/>
      </c>
      <c r="U397" s="5" t="str">
        <f>IF($A397="","",IFERROR(VLOOKUP($A397,Sheet1!$A:$AN,21,0),""))</f>
        <v/>
      </c>
      <c r="V397" s="5" t="str">
        <f>IF($A397="","",IFERROR(SUBSTITUTE(VLOOKUP($A397,Sheet1!$A:$AN,22,0),"族",""),""))</f>
        <v/>
      </c>
      <c r="W397" s="5" t="str">
        <f>IF($A397="","",IFERROR(VLOOKUP($A397,Sheet1!$A:$AN,23,0),""))</f>
        <v/>
      </c>
      <c r="X397" s="5" t="str">
        <f>IF($A397="","",IFERROR(VLOOKUP($A397,Sheet1!$A:$AN,24,0),""))</f>
        <v/>
      </c>
      <c r="Y397" s="5" t="str">
        <f>IF($A397="","",IFERROR(VLOOKUP($A397,Sheet1!$A:$AN,25,0),""))</f>
        <v/>
      </c>
      <c r="AK397" s="5" t="str">
        <f>IF($A397="","",IFERROR(VLOOKUP($A397,Sheet1!$A:$AN,37,0),""))</f>
        <v/>
      </c>
      <c r="AL397" s="13" t="str">
        <f>IF($A397="","",IFERROR(VLOOKUP($A397,Sheet1!$A:$AN,38,0),""))</f>
        <v/>
      </c>
      <c r="AM397" s="13" t="str">
        <f>IF($A397="","",IFERROR(VLOOKUP($A397,Sheet1!$A:$AN,39,0),""))</f>
        <v/>
      </c>
      <c r="AN397" s="13" t="str">
        <f>IF($A397="","",IFERROR(VLOOKUP($A397,Sheet1!$A:$AN,40,0),""))</f>
        <v/>
      </c>
    </row>
    <row r="398" customHeight="1" spans="1:40">
      <c r="A398" s="5" t="str">
        <f>IF(Sheet1!$A398="","",Sheet1!$A398)</f>
        <v/>
      </c>
      <c r="B398" s="5" t="str">
        <f t="shared" si="30"/>
        <v/>
      </c>
      <c r="C398" s="5" t="str">
        <f>IF($A398="","",IFERROR(VLOOKUP($A398,Sheet1!$A:$AN,3,0),""))</f>
        <v/>
      </c>
      <c r="D398" s="5" t="str">
        <f t="shared" si="31"/>
        <v/>
      </c>
      <c r="I398" s="5" t="str">
        <f t="shared" si="32"/>
        <v/>
      </c>
      <c r="M398" s="5" t="str">
        <f t="shared" si="33"/>
        <v/>
      </c>
      <c r="R398" s="5" t="str">
        <f>IF($A398="","",IFERROR(VLOOKUP($A398,Sheet1!A:AN,18,0),""))</f>
        <v/>
      </c>
      <c r="S398" s="5" t="str">
        <f>IF($A398="","",IFERROR(VLOOKUP($A398,Sheet1!$A:$AN,19,0),""))</f>
        <v/>
      </c>
      <c r="T398" s="5" t="str">
        <f t="shared" si="34"/>
        <v/>
      </c>
      <c r="U398" s="5" t="str">
        <f>IF($A398="","",IFERROR(VLOOKUP($A398,Sheet1!$A:$AN,21,0),""))</f>
        <v/>
      </c>
      <c r="V398" s="5" t="str">
        <f>IF($A398="","",IFERROR(SUBSTITUTE(VLOOKUP($A398,Sheet1!$A:$AN,22,0),"族",""),""))</f>
        <v/>
      </c>
      <c r="W398" s="5" t="str">
        <f>IF($A398="","",IFERROR(VLOOKUP($A398,Sheet1!$A:$AN,23,0),""))</f>
        <v/>
      </c>
      <c r="X398" s="5" t="str">
        <f>IF($A398="","",IFERROR(VLOOKUP($A398,Sheet1!$A:$AN,24,0),""))</f>
        <v/>
      </c>
      <c r="Y398" s="5" t="str">
        <f>IF($A398="","",IFERROR(VLOOKUP($A398,Sheet1!$A:$AN,25,0),""))</f>
        <v/>
      </c>
      <c r="AK398" s="5" t="str">
        <f>IF($A398="","",IFERROR(VLOOKUP($A398,Sheet1!$A:$AN,37,0),""))</f>
        <v/>
      </c>
      <c r="AL398" s="13" t="str">
        <f>IF($A398="","",IFERROR(VLOOKUP($A398,Sheet1!$A:$AN,38,0),""))</f>
        <v/>
      </c>
      <c r="AM398" s="13" t="str">
        <f>IF($A398="","",IFERROR(VLOOKUP($A398,Sheet1!$A:$AN,39,0),""))</f>
        <v/>
      </c>
      <c r="AN398" s="13" t="str">
        <f>IF($A398="","",IFERROR(VLOOKUP($A398,Sheet1!$A:$AN,40,0),""))</f>
        <v/>
      </c>
    </row>
    <row r="399" customHeight="1" spans="1:40">
      <c r="A399" s="5" t="str">
        <f>IF(Sheet1!$A399="","",Sheet1!$A399)</f>
        <v/>
      </c>
      <c r="B399" s="5" t="str">
        <f t="shared" si="30"/>
        <v/>
      </c>
      <c r="C399" s="5" t="str">
        <f>IF($A399="","",IFERROR(VLOOKUP($A399,Sheet1!$A:$AN,3,0),""))</f>
        <v/>
      </c>
      <c r="D399" s="5" t="str">
        <f t="shared" si="31"/>
        <v/>
      </c>
      <c r="I399" s="5" t="str">
        <f t="shared" si="32"/>
        <v/>
      </c>
      <c r="M399" s="5" t="str">
        <f t="shared" si="33"/>
        <v/>
      </c>
      <c r="R399" s="5" t="str">
        <f>IF($A399="","",IFERROR(VLOOKUP($A399,Sheet1!A:AN,18,0),""))</f>
        <v/>
      </c>
      <c r="S399" s="5" t="str">
        <f>IF($A399="","",IFERROR(VLOOKUP($A399,Sheet1!$A:$AN,19,0),""))</f>
        <v/>
      </c>
      <c r="T399" s="5" t="str">
        <f t="shared" si="34"/>
        <v/>
      </c>
      <c r="U399" s="5" t="str">
        <f>IF($A399="","",IFERROR(VLOOKUP($A399,Sheet1!$A:$AN,21,0),""))</f>
        <v/>
      </c>
      <c r="V399" s="5" t="str">
        <f>IF($A399="","",IFERROR(SUBSTITUTE(VLOOKUP($A399,Sheet1!$A:$AN,22,0),"族",""),""))</f>
        <v/>
      </c>
      <c r="W399" s="5" t="str">
        <f>IF($A399="","",IFERROR(VLOOKUP($A399,Sheet1!$A:$AN,23,0),""))</f>
        <v/>
      </c>
      <c r="X399" s="5" t="str">
        <f>IF($A399="","",IFERROR(VLOOKUP($A399,Sheet1!$A:$AN,24,0),""))</f>
        <v/>
      </c>
      <c r="Y399" s="5" t="str">
        <f>IF($A399="","",IFERROR(VLOOKUP($A399,Sheet1!$A:$AN,25,0),""))</f>
        <v/>
      </c>
      <c r="AK399" s="5" t="str">
        <f>IF($A399="","",IFERROR(VLOOKUP($A399,Sheet1!$A:$AN,37,0),""))</f>
        <v/>
      </c>
      <c r="AL399" s="13" t="str">
        <f>IF($A399="","",IFERROR(VLOOKUP($A399,Sheet1!$A:$AN,38,0),""))</f>
        <v/>
      </c>
      <c r="AM399" s="13" t="str">
        <f>IF($A399="","",IFERROR(VLOOKUP($A399,Sheet1!$A:$AN,39,0),""))</f>
        <v/>
      </c>
      <c r="AN399" s="13" t="str">
        <f>IF($A399="","",IFERROR(VLOOKUP($A399,Sheet1!$A:$AN,40,0),""))</f>
        <v/>
      </c>
    </row>
    <row r="400" customHeight="1" spans="1:40">
      <c r="A400" s="5" t="str">
        <f>IF(Sheet1!$A400="","",Sheet1!$A400)</f>
        <v/>
      </c>
      <c r="B400" s="5" t="str">
        <f t="shared" si="30"/>
        <v/>
      </c>
      <c r="C400" s="5" t="str">
        <f>IF($A400="","",IFERROR(VLOOKUP($A400,Sheet1!$A:$AN,3,0),""))</f>
        <v/>
      </c>
      <c r="D400" s="5" t="str">
        <f t="shared" si="31"/>
        <v/>
      </c>
      <c r="I400" s="5" t="str">
        <f t="shared" si="32"/>
        <v/>
      </c>
      <c r="M400" s="5" t="str">
        <f t="shared" si="33"/>
        <v/>
      </c>
      <c r="R400" s="5" t="str">
        <f>IF($A400="","",IFERROR(VLOOKUP($A400,Sheet1!A:AN,18,0),""))</f>
        <v/>
      </c>
      <c r="S400" s="5" t="str">
        <f>IF($A400="","",IFERROR(VLOOKUP($A400,Sheet1!$A:$AN,19,0),""))</f>
        <v/>
      </c>
      <c r="T400" s="5" t="str">
        <f t="shared" si="34"/>
        <v/>
      </c>
      <c r="U400" s="5" t="str">
        <f>IF($A400="","",IFERROR(VLOOKUP($A400,Sheet1!$A:$AN,21,0),""))</f>
        <v/>
      </c>
      <c r="V400" s="5" t="str">
        <f>IF($A400="","",IFERROR(SUBSTITUTE(VLOOKUP($A400,Sheet1!$A:$AN,22,0),"族",""),""))</f>
        <v/>
      </c>
      <c r="W400" s="5" t="str">
        <f>IF($A400="","",IFERROR(VLOOKUP($A400,Sheet1!$A:$AN,23,0),""))</f>
        <v/>
      </c>
      <c r="X400" s="5" t="str">
        <f>IF($A400="","",IFERROR(VLOOKUP($A400,Sheet1!$A:$AN,24,0),""))</f>
        <v/>
      </c>
      <c r="Y400" s="5" t="str">
        <f>IF($A400="","",IFERROR(VLOOKUP($A400,Sheet1!$A:$AN,25,0),""))</f>
        <v/>
      </c>
      <c r="AK400" s="5" t="str">
        <f>IF($A400="","",IFERROR(VLOOKUP($A400,Sheet1!$A:$AN,37,0),""))</f>
        <v/>
      </c>
      <c r="AL400" s="13" t="str">
        <f>IF($A400="","",IFERROR(VLOOKUP($A400,Sheet1!$A:$AN,38,0),""))</f>
        <v/>
      </c>
      <c r="AM400" s="13" t="str">
        <f>IF($A400="","",IFERROR(VLOOKUP($A400,Sheet1!$A:$AN,39,0),""))</f>
        <v/>
      </c>
      <c r="AN400" s="13" t="str">
        <f>IF($A400="","",IFERROR(VLOOKUP($A400,Sheet1!$A:$AN,40,0),""))</f>
        <v/>
      </c>
    </row>
    <row r="401" customHeight="1" spans="1:40">
      <c r="A401" s="5" t="str">
        <f>IF(Sheet1!$A401="","",Sheet1!$A401)</f>
        <v/>
      </c>
      <c r="B401" s="5" t="str">
        <f t="shared" si="30"/>
        <v/>
      </c>
      <c r="C401" s="5" t="str">
        <f>IF($A401="","",IFERROR(VLOOKUP($A401,Sheet1!$A:$AN,3,0),""))</f>
        <v/>
      </c>
      <c r="D401" s="5" t="str">
        <f t="shared" si="31"/>
        <v/>
      </c>
      <c r="I401" s="5" t="str">
        <f t="shared" si="32"/>
        <v/>
      </c>
      <c r="M401" s="5" t="str">
        <f t="shared" si="33"/>
        <v/>
      </c>
      <c r="R401" s="5" t="str">
        <f>IF($A401="","",IFERROR(VLOOKUP($A401,Sheet1!A:AN,18,0),""))</f>
        <v/>
      </c>
      <c r="S401" s="5" t="str">
        <f>IF($A401="","",IFERROR(VLOOKUP($A401,Sheet1!$A:$AN,19,0),""))</f>
        <v/>
      </c>
      <c r="T401" s="5" t="str">
        <f t="shared" si="34"/>
        <v/>
      </c>
      <c r="U401" s="5" t="str">
        <f>IF($A401="","",IFERROR(VLOOKUP($A401,Sheet1!$A:$AN,21,0),""))</f>
        <v/>
      </c>
      <c r="V401" s="5" t="str">
        <f>IF($A401="","",IFERROR(SUBSTITUTE(VLOOKUP($A401,Sheet1!$A:$AN,22,0),"族",""),""))</f>
        <v/>
      </c>
      <c r="W401" s="5" t="str">
        <f>IF($A401="","",IFERROR(VLOOKUP($A401,Sheet1!$A:$AN,23,0),""))</f>
        <v/>
      </c>
      <c r="X401" s="5" t="str">
        <f>IF($A401="","",IFERROR(VLOOKUP($A401,Sheet1!$A:$AN,24,0),""))</f>
        <v/>
      </c>
      <c r="Y401" s="5" t="str">
        <f>IF($A401="","",IFERROR(VLOOKUP($A401,Sheet1!$A:$AN,25,0),""))</f>
        <v/>
      </c>
      <c r="AK401" s="5" t="str">
        <f>IF($A401="","",IFERROR(VLOOKUP($A401,Sheet1!$A:$AN,37,0),""))</f>
        <v/>
      </c>
      <c r="AL401" s="13" t="str">
        <f>IF($A401="","",IFERROR(VLOOKUP($A401,Sheet1!$A:$AN,38,0),""))</f>
        <v/>
      </c>
      <c r="AM401" s="13" t="str">
        <f>IF($A401="","",IFERROR(VLOOKUP($A401,Sheet1!$A:$AN,39,0),""))</f>
        <v/>
      </c>
      <c r="AN401" s="13" t="str">
        <f>IF($A401="","",IFERROR(VLOOKUP($A401,Sheet1!$A:$AN,40,0),""))</f>
        <v/>
      </c>
    </row>
    <row r="402" customHeight="1" spans="1:40">
      <c r="A402" s="5" t="str">
        <f>IF(Sheet1!$A402="","",Sheet1!$A402)</f>
        <v/>
      </c>
      <c r="B402" s="5" t="str">
        <f t="shared" si="30"/>
        <v/>
      </c>
      <c r="C402" s="5" t="str">
        <f>IF($A402="","",IFERROR(VLOOKUP($A402,Sheet1!$A:$AN,3,0),""))</f>
        <v/>
      </c>
      <c r="D402" s="5" t="str">
        <f t="shared" si="31"/>
        <v/>
      </c>
      <c r="I402" s="5" t="str">
        <f t="shared" si="32"/>
        <v/>
      </c>
      <c r="M402" s="5" t="str">
        <f t="shared" si="33"/>
        <v/>
      </c>
      <c r="R402" s="5" t="str">
        <f>IF($A402="","",IFERROR(VLOOKUP($A402,Sheet1!A:AN,18,0),""))</f>
        <v/>
      </c>
      <c r="S402" s="5" t="str">
        <f>IF($A402="","",IFERROR(VLOOKUP($A402,Sheet1!$A:$AN,19,0),""))</f>
        <v/>
      </c>
      <c r="T402" s="5" t="str">
        <f t="shared" si="34"/>
        <v/>
      </c>
      <c r="U402" s="5" t="str">
        <f>IF($A402="","",IFERROR(VLOOKUP($A402,Sheet1!$A:$AN,21,0),""))</f>
        <v/>
      </c>
      <c r="V402" s="5" t="str">
        <f>IF($A402="","",IFERROR(SUBSTITUTE(VLOOKUP($A402,Sheet1!$A:$AN,22,0),"族",""),""))</f>
        <v/>
      </c>
      <c r="W402" s="5" t="str">
        <f>IF($A402="","",IFERROR(VLOOKUP($A402,Sheet1!$A:$AN,23,0),""))</f>
        <v/>
      </c>
      <c r="X402" s="5" t="str">
        <f>IF($A402="","",IFERROR(VLOOKUP($A402,Sheet1!$A:$AN,24,0),""))</f>
        <v/>
      </c>
      <c r="Y402" s="5" t="str">
        <f>IF($A402="","",IFERROR(VLOOKUP($A402,Sheet1!$A:$AN,25,0),""))</f>
        <v/>
      </c>
      <c r="AK402" s="5" t="str">
        <f>IF($A402="","",IFERROR(VLOOKUP($A402,Sheet1!$A:$AN,37,0),""))</f>
        <v/>
      </c>
      <c r="AL402" s="13" t="str">
        <f>IF($A402="","",IFERROR(VLOOKUP($A402,Sheet1!$A:$AN,38,0),""))</f>
        <v/>
      </c>
      <c r="AM402" s="13" t="str">
        <f>IF($A402="","",IFERROR(VLOOKUP($A402,Sheet1!$A:$AN,39,0),""))</f>
        <v/>
      </c>
      <c r="AN402" s="13" t="str">
        <f>IF($A402="","",IFERROR(VLOOKUP($A402,Sheet1!$A:$AN,40,0),""))</f>
        <v/>
      </c>
    </row>
    <row r="403" customHeight="1" spans="1:40">
      <c r="A403" s="5" t="str">
        <f>IF(Sheet1!$A403="","",Sheet1!$A403)</f>
        <v/>
      </c>
      <c r="B403" s="5" t="str">
        <f t="shared" si="30"/>
        <v/>
      </c>
      <c r="C403" s="5" t="str">
        <f>IF($A403="","",IFERROR(VLOOKUP($A403,Sheet1!$A:$AN,3,0),""))</f>
        <v/>
      </c>
      <c r="D403" s="5" t="str">
        <f t="shared" si="31"/>
        <v/>
      </c>
      <c r="I403" s="5" t="str">
        <f t="shared" si="32"/>
        <v/>
      </c>
      <c r="M403" s="5" t="str">
        <f t="shared" si="33"/>
        <v/>
      </c>
      <c r="R403" s="5" t="str">
        <f>IF($A403="","",IFERROR(VLOOKUP($A403,Sheet1!A:AN,18,0),""))</f>
        <v/>
      </c>
      <c r="S403" s="5" t="str">
        <f>IF($A403="","",IFERROR(VLOOKUP($A403,Sheet1!$A:$AN,19,0),""))</f>
        <v/>
      </c>
      <c r="T403" s="5" t="str">
        <f t="shared" si="34"/>
        <v/>
      </c>
      <c r="U403" s="5" t="str">
        <f>IF($A403="","",IFERROR(VLOOKUP($A403,Sheet1!$A:$AN,21,0),""))</f>
        <v/>
      </c>
      <c r="V403" s="5" t="str">
        <f>IF($A403="","",IFERROR(SUBSTITUTE(VLOOKUP($A403,Sheet1!$A:$AN,22,0),"族",""),""))</f>
        <v/>
      </c>
      <c r="W403" s="5" t="str">
        <f>IF($A403="","",IFERROR(VLOOKUP($A403,Sheet1!$A:$AN,23,0),""))</f>
        <v/>
      </c>
      <c r="X403" s="5" t="str">
        <f>IF($A403="","",IFERROR(VLOOKUP($A403,Sheet1!$A:$AN,24,0),""))</f>
        <v/>
      </c>
      <c r="Y403" s="5" t="str">
        <f>IF($A403="","",IFERROR(VLOOKUP($A403,Sheet1!$A:$AN,25,0),""))</f>
        <v/>
      </c>
      <c r="AK403" s="5" t="str">
        <f>IF($A403="","",IFERROR(VLOOKUP($A403,Sheet1!$A:$AN,37,0),""))</f>
        <v/>
      </c>
      <c r="AL403" s="13" t="str">
        <f>IF($A403="","",IFERROR(VLOOKUP($A403,Sheet1!$A:$AN,38,0),""))</f>
        <v/>
      </c>
      <c r="AM403" s="13" t="str">
        <f>IF($A403="","",IFERROR(VLOOKUP($A403,Sheet1!$A:$AN,39,0),""))</f>
        <v/>
      </c>
      <c r="AN403" s="13" t="str">
        <f>IF($A403="","",IFERROR(VLOOKUP($A403,Sheet1!$A:$AN,40,0),""))</f>
        <v/>
      </c>
    </row>
    <row r="404" customHeight="1" spans="1:40">
      <c r="A404" s="5" t="str">
        <f>IF(Sheet1!$A404="","",Sheet1!$A404)</f>
        <v/>
      </c>
      <c r="B404" s="5" t="str">
        <f t="shared" si="30"/>
        <v/>
      </c>
      <c r="C404" s="5" t="str">
        <f>IF($A404="","",IFERROR(VLOOKUP($A404,Sheet1!$A:$AN,3,0),""))</f>
        <v/>
      </c>
      <c r="D404" s="5" t="str">
        <f t="shared" si="31"/>
        <v/>
      </c>
      <c r="I404" s="5" t="str">
        <f t="shared" si="32"/>
        <v/>
      </c>
      <c r="M404" s="5" t="str">
        <f t="shared" si="33"/>
        <v/>
      </c>
      <c r="R404" s="5" t="str">
        <f>IF($A404="","",IFERROR(VLOOKUP($A404,Sheet1!A:AN,18,0),""))</f>
        <v/>
      </c>
      <c r="S404" s="5" t="str">
        <f>IF($A404="","",IFERROR(VLOOKUP($A404,Sheet1!$A:$AN,19,0),""))</f>
        <v/>
      </c>
      <c r="T404" s="5" t="str">
        <f t="shared" si="34"/>
        <v/>
      </c>
      <c r="U404" s="5" t="str">
        <f>IF($A404="","",IFERROR(VLOOKUP($A404,Sheet1!$A:$AN,21,0),""))</f>
        <v/>
      </c>
      <c r="V404" s="5" t="str">
        <f>IF($A404="","",IFERROR(SUBSTITUTE(VLOOKUP($A404,Sheet1!$A:$AN,22,0),"族",""),""))</f>
        <v/>
      </c>
      <c r="W404" s="5" t="str">
        <f>IF($A404="","",IFERROR(VLOOKUP($A404,Sheet1!$A:$AN,23,0),""))</f>
        <v/>
      </c>
      <c r="X404" s="5" t="str">
        <f>IF($A404="","",IFERROR(VLOOKUP($A404,Sheet1!$A:$AN,24,0),""))</f>
        <v/>
      </c>
      <c r="Y404" s="5" t="str">
        <f>IF($A404="","",IFERROR(VLOOKUP($A404,Sheet1!$A:$AN,25,0),""))</f>
        <v/>
      </c>
      <c r="AK404" s="5" t="str">
        <f>IF($A404="","",IFERROR(VLOOKUP($A404,Sheet1!$A:$AN,37,0),""))</f>
        <v/>
      </c>
      <c r="AL404" s="13" t="str">
        <f>IF($A404="","",IFERROR(VLOOKUP($A404,Sheet1!$A:$AN,38,0),""))</f>
        <v/>
      </c>
      <c r="AM404" s="13" t="str">
        <f>IF($A404="","",IFERROR(VLOOKUP($A404,Sheet1!$A:$AN,39,0),""))</f>
        <v/>
      </c>
      <c r="AN404" s="13" t="str">
        <f>IF($A404="","",IFERROR(VLOOKUP($A404,Sheet1!$A:$AN,40,0),""))</f>
        <v/>
      </c>
    </row>
    <row r="405" customHeight="1" spans="1:40">
      <c r="A405" s="5" t="str">
        <f>IF(Sheet1!$A405="","",Sheet1!$A405)</f>
        <v/>
      </c>
      <c r="B405" s="5" t="str">
        <f t="shared" si="30"/>
        <v/>
      </c>
      <c r="C405" s="5" t="str">
        <f>IF($A405="","",IFERROR(VLOOKUP($A405,Sheet1!$A:$AN,3,0),""))</f>
        <v/>
      </c>
      <c r="D405" s="5" t="str">
        <f t="shared" si="31"/>
        <v/>
      </c>
      <c r="I405" s="5" t="str">
        <f t="shared" si="32"/>
        <v/>
      </c>
      <c r="M405" s="5" t="str">
        <f t="shared" si="33"/>
        <v/>
      </c>
      <c r="R405" s="5" t="str">
        <f>IF($A405="","",IFERROR(VLOOKUP($A405,Sheet1!A:AN,18,0),""))</f>
        <v/>
      </c>
      <c r="S405" s="5" t="str">
        <f>IF($A405="","",IFERROR(VLOOKUP($A405,Sheet1!$A:$AN,19,0),""))</f>
        <v/>
      </c>
      <c r="T405" s="5" t="str">
        <f t="shared" si="34"/>
        <v/>
      </c>
      <c r="U405" s="5" t="str">
        <f>IF($A405="","",IFERROR(VLOOKUP($A405,Sheet1!$A:$AN,21,0),""))</f>
        <v/>
      </c>
      <c r="V405" s="5" t="str">
        <f>IF($A405="","",IFERROR(SUBSTITUTE(VLOOKUP($A405,Sheet1!$A:$AN,22,0),"族",""),""))</f>
        <v/>
      </c>
      <c r="W405" s="5" t="str">
        <f>IF($A405="","",IFERROR(VLOOKUP($A405,Sheet1!$A:$AN,23,0),""))</f>
        <v/>
      </c>
      <c r="X405" s="5" t="str">
        <f>IF($A405="","",IFERROR(VLOOKUP($A405,Sheet1!$A:$AN,24,0),""))</f>
        <v/>
      </c>
      <c r="Y405" s="5" t="str">
        <f>IF($A405="","",IFERROR(VLOOKUP($A405,Sheet1!$A:$AN,25,0),""))</f>
        <v/>
      </c>
      <c r="AK405" s="5" t="str">
        <f>IF($A405="","",IFERROR(VLOOKUP($A405,Sheet1!$A:$AN,37,0),""))</f>
        <v/>
      </c>
      <c r="AL405" s="13" t="str">
        <f>IF($A405="","",IFERROR(VLOOKUP($A405,Sheet1!$A:$AN,38,0),""))</f>
        <v/>
      </c>
      <c r="AM405" s="13" t="str">
        <f>IF($A405="","",IFERROR(VLOOKUP($A405,Sheet1!$A:$AN,39,0),""))</f>
        <v/>
      </c>
      <c r="AN405" s="13" t="str">
        <f>IF($A405="","",IFERROR(VLOOKUP($A405,Sheet1!$A:$AN,40,0),""))</f>
        <v/>
      </c>
    </row>
    <row r="406" customHeight="1" spans="1:40">
      <c r="A406" s="5" t="str">
        <f>IF(Sheet1!$A406="","",Sheet1!$A406)</f>
        <v/>
      </c>
      <c r="B406" s="5" t="str">
        <f t="shared" si="30"/>
        <v/>
      </c>
      <c r="C406" s="5" t="str">
        <f>IF($A406="","",IFERROR(VLOOKUP($A406,Sheet1!$A:$AN,3,0),""))</f>
        <v/>
      </c>
      <c r="D406" s="5" t="str">
        <f t="shared" si="31"/>
        <v/>
      </c>
      <c r="I406" s="5" t="str">
        <f t="shared" si="32"/>
        <v/>
      </c>
      <c r="M406" s="5" t="str">
        <f t="shared" si="33"/>
        <v/>
      </c>
      <c r="R406" s="5" t="str">
        <f>IF($A406="","",IFERROR(VLOOKUP($A406,Sheet1!A:AN,18,0),""))</f>
        <v/>
      </c>
      <c r="S406" s="5" t="str">
        <f>IF($A406="","",IFERROR(VLOOKUP($A406,Sheet1!$A:$AN,19,0),""))</f>
        <v/>
      </c>
      <c r="T406" s="5" t="str">
        <f t="shared" si="34"/>
        <v/>
      </c>
      <c r="U406" s="5" t="str">
        <f>IF($A406="","",IFERROR(VLOOKUP($A406,Sheet1!$A:$AN,21,0),""))</f>
        <v/>
      </c>
      <c r="V406" s="5" t="str">
        <f>IF($A406="","",IFERROR(SUBSTITUTE(VLOOKUP($A406,Sheet1!$A:$AN,22,0),"族",""),""))</f>
        <v/>
      </c>
      <c r="W406" s="5" t="str">
        <f>IF($A406="","",IFERROR(VLOOKUP($A406,Sheet1!$A:$AN,23,0),""))</f>
        <v/>
      </c>
      <c r="X406" s="5" t="str">
        <f>IF($A406="","",IFERROR(VLOOKUP($A406,Sheet1!$A:$AN,24,0),""))</f>
        <v/>
      </c>
      <c r="Y406" s="5" t="str">
        <f>IF($A406="","",IFERROR(VLOOKUP($A406,Sheet1!$A:$AN,25,0),""))</f>
        <v/>
      </c>
      <c r="AK406" s="5" t="str">
        <f>IF($A406="","",IFERROR(VLOOKUP($A406,Sheet1!$A:$AN,37,0),""))</f>
        <v/>
      </c>
      <c r="AL406" s="13" t="str">
        <f>IF($A406="","",IFERROR(VLOOKUP($A406,Sheet1!$A:$AN,38,0),""))</f>
        <v/>
      </c>
      <c r="AM406" s="13" t="str">
        <f>IF($A406="","",IFERROR(VLOOKUP($A406,Sheet1!$A:$AN,39,0),""))</f>
        <v/>
      </c>
      <c r="AN406" s="13" t="str">
        <f>IF($A406="","",IFERROR(VLOOKUP($A406,Sheet1!$A:$AN,40,0),""))</f>
        <v/>
      </c>
    </row>
    <row r="407" customHeight="1" spans="1:40">
      <c r="A407" s="5" t="str">
        <f>IF(Sheet1!$A407="","",Sheet1!$A407)</f>
        <v/>
      </c>
      <c r="B407" s="5" t="str">
        <f t="shared" si="30"/>
        <v/>
      </c>
      <c r="C407" s="5" t="str">
        <f>IF($A407="","",IFERROR(VLOOKUP($A407,Sheet1!$A:$AN,3,0),""))</f>
        <v/>
      </c>
      <c r="D407" s="5" t="str">
        <f t="shared" si="31"/>
        <v/>
      </c>
      <c r="I407" s="5" t="str">
        <f t="shared" si="32"/>
        <v/>
      </c>
      <c r="M407" s="5" t="str">
        <f t="shared" si="33"/>
        <v/>
      </c>
      <c r="R407" s="5" t="str">
        <f>IF($A407="","",IFERROR(VLOOKUP($A407,Sheet1!A:AN,18,0),""))</f>
        <v/>
      </c>
      <c r="S407" s="5" t="str">
        <f>IF($A407="","",IFERROR(VLOOKUP($A407,Sheet1!$A:$AN,19,0),""))</f>
        <v/>
      </c>
      <c r="T407" s="5" t="str">
        <f t="shared" si="34"/>
        <v/>
      </c>
      <c r="U407" s="5" t="str">
        <f>IF($A407="","",IFERROR(VLOOKUP($A407,Sheet1!$A:$AN,21,0),""))</f>
        <v/>
      </c>
      <c r="V407" s="5" t="str">
        <f>IF($A407="","",IFERROR(SUBSTITUTE(VLOOKUP($A407,Sheet1!$A:$AN,22,0),"族",""),""))</f>
        <v/>
      </c>
      <c r="W407" s="5" t="str">
        <f>IF($A407="","",IFERROR(VLOOKUP($A407,Sheet1!$A:$AN,23,0),""))</f>
        <v/>
      </c>
      <c r="X407" s="5" t="str">
        <f>IF($A407="","",IFERROR(VLOOKUP($A407,Sheet1!$A:$AN,24,0),""))</f>
        <v/>
      </c>
      <c r="Y407" s="5" t="str">
        <f>IF($A407="","",IFERROR(VLOOKUP($A407,Sheet1!$A:$AN,25,0),""))</f>
        <v/>
      </c>
      <c r="AK407" s="5" t="str">
        <f>IF($A407="","",IFERROR(VLOOKUP($A407,Sheet1!$A:$AN,37,0),""))</f>
        <v/>
      </c>
      <c r="AL407" s="13" t="str">
        <f>IF($A407="","",IFERROR(VLOOKUP($A407,Sheet1!$A:$AN,38,0),""))</f>
        <v/>
      </c>
      <c r="AM407" s="13" t="str">
        <f>IF($A407="","",IFERROR(VLOOKUP($A407,Sheet1!$A:$AN,39,0),""))</f>
        <v/>
      </c>
      <c r="AN407" s="13" t="str">
        <f>IF($A407="","",IFERROR(VLOOKUP($A407,Sheet1!$A:$AN,40,0),""))</f>
        <v/>
      </c>
    </row>
    <row r="408" customHeight="1" spans="1:40">
      <c r="A408" s="5" t="str">
        <f>IF(Sheet1!$A408="","",Sheet1!$A408)</f>
        <v/>
      </c>
      <c r="B408" s="5" t="str">
        <f t="shared" si="30"/>
        <v/>
      </c>
      <c r="C408" s="5" t="str">
        <f>IF($A408="","",IFERROR(VLOOKUP($A408,Sheet1!$A:$AN,3,0),""))</f>
        <v/>
      </c>
      <c r="D408" s="5" t="str">
        <f t="shared" si="31"/>
        <v/>
      </c>
      <c r="I408" s="5" t="str">
        <f t="shared" si="32"/>
        <v/>
      </c>
      <c r="M408" s="5" t="str">
        <f t="shared" si="33"/>
        <v/>
      </c>
      <c r="R408" s="5" t="str">
        <f>IF($A408="","",IFERROR(VLOOKUP($A408,Sheet1!A:AN,18,0),""))</f>
        <v/>
      </c>
      <c r="S408" s="5" t="str">
        <f>IF($A408="","",IFERROR(VLOOKUP($A408,Sheet1!$A:$AN,19,0),""))</f>
        <v/>
      </c>
      <c r="T408" s="5" t="str">
        <f t="shared" si="34"/>
        <v/>
      </c>
      <c r="U408" s="5" t="str">
        <f>IF($A408="","",IFERROR(VLOOKUP($A408,Sheet1!$A:$AN,21,0),""))</f>
        <v/>
      </c>
      <c r="V408" s="5" t="str">
        <f>IF($A408="","",IFERROR(SUBSTITUTE(VLOOKUP($A408,Sheet1!$A:$AN,22,0),"族",""),""))</f>
        <v/>
      </c>
      <c r="W408" s="5" t="str">
        <f>IF($A408="","",IFERROR(VLOOKUP($A408,Sheet1!$A:$AN,23,0),""))</f>
        <v/>
      </c>
      <c r="X408" s="5" t="str">
        <f>IF($A408="","",IFERROR(VLOOKUP($A408,Sheet1!$A:$AN,24,0),""))</f>
        <v/>
      </c>
      <c r="Y408" s="5" t="str">
        <f>IF($A408="","",IFERROR(VLOOKUP($A408,Sheet1!$A:$AN,25,0),""))</f>
        <v/>
      </c>
      <c r="AK408" s="5" t="str">
        <f>IF($A408="","",IFERROR(VLOOKUP($A408,Sheet1!$A:$AN,37,0),""))</f>
        <v/>
      </c>
      <c r="AL408" s="13" t="str">
        <f>IF($A408="","",IFERROR(VLOOKUP($A408,Sheet1!$A:$AN,38,0),""))</f>
        <v/>
      </c>
      <c r="AM408" s="13" t="str">
        <f>IF($A408="","",IFERROR(VLOOKUP($A408,Sheet1!$A:$AN,39,0),""))</f>
        <v/>
      </c>
      <c r="AN408" s="13" t="str">
        <f>IF($A408="","",IFERROR(VLOOKUP($A408,Sheet1!$A:$AN,40,0),""))</f>
        <v/>
      </c>
    </row>
    <row r="409" customHeight="1" spans="1:40">
      <c r="A409" s="5" t="str">
        <f>IF(Sheet1!$A409="","",Sheet1!$A409)</f>
        <v/>
      </c>
      <c r="B409" s="5" t="str">
        <f t="shared" si="30"/>
        <v/>
      </c>
      <c r="C409" s="5" t="str">
        <f>IF($A409="","",IFERROR(VLOOKUP($A409,Sheet1!$A:$AN,3,0),""))</f>
        <v/>
      </c>
      <c r="D409" s="5" t="str">
        <f t="shared" si="31"/>
        <v/>
      </c>
      <c r="I409" s="5" t="str">
        <f t="shared" si="32"/>
        <v/>
      </c>
      <c r="M409" s="5" t="str">
        <f t="shared" si="33"/>
        <v/>
      </c>
      <c r="R409" s="5" t="str">
        <f>IF($A409="","",IFERROR(VLOOKUP($A409,Sheet1!A:AN,18,0),""))</f>
        <v/>
      </c>
      <c r="S409" s="5" t="str">
        <f>IF($A409="","",IFERROR(VLOOKUP($A409,Sheet1!$A:$AN,19,0),""))</f>
        <v/>
      </c>
      <c r="T409" s="5" t="str">
        <f t="shared" si="34"/>
        <v/>
      </c>
      <c r="U409" s="5" t="str">
        <f>IF($A409="","",IFERROR(VLOOKUP($A409,Sheet1!$A:$AN,21,0),""))</f>
        <v/>
      </c>
      <c r="V409" s="5" t="str">
        <f>IF($A409="","",IFERROR(SUBSTITUTE(VLOOKUP($A409,Sheet1!$A:$AN,22,0),"族",""),""))</f>
        <v/>
      </c>
      <c r="W409" s="5" t="str">
        <f>IF($A409="","",IFERROR(VLOOKUP($A409,Sheet1!$A:$AN,23,0),""))</f>
        <v/>
      </c>
      <c r="X409" s="5" t="str">
        <f>IF($A409="","",IFERROR(VLOOKUP($A409,Sheet1!$A:$AN,24,0),""))</f>
        <v/>
      </c>
      <c r="Y409" s="5" t="str">
        <f>IF($A409="","",IFERROR(VLOOKUP($A409,Sheet1!$A:$AN,25,0),""))</f>
        <v/>
      </c>
      <c r="AK409" s="5" t="str">
        <f>IF($A409="","",IFERROR(VLOOKUP($A409,Sheet1!$A:$AN,37,0),""))</f>
        <v/>
      </c>
      <c r="AL409" s="13" t="str">
        <f>IF($A409="","",IFERROR(VLOOKUP($A409,Sheet1!$A:$AN,38,0),""))</f>
        <v/>
      </c>
      <c r="AM409" s="13" t="str">
        <f>IF($A409="","",IFERROR(VLOOKUP($A409,Sheet1!$A:$AN,39,0),""))</f>
        <v/>
      </c>
      <c r="AN409" s="13" t="str">
        <f>IF($A409="","",IFERROR(VLOOKUP($A409,Sheet1!$A:$AN,40,0),""))</f>
        <v/>
      </c>
    </row>
    <row r="410" customHeight="1" spans="1:40">
      <c r="A410" s="5" t="str">
        <f>IF(Sheet1!$A410="","",Sheet1!$A410)</f>
        <v/>
      </c>
      <c r="B410" s="5" t="str">
        <f t="shared" si="30"/>
        <v/>
      </c>
      <c r="C410" s="5" t="str">
        <f>IF($A410="","",IFERROR(VLOOKUP($A410,Sheet1!$A:$AN,3,0),""))</f>
        <v/>
      </c>
      <c r="D410" s="5" t="str">
        <f t="shared" si="31"/>
        <v/>
      </c>
      <c r="I410" s="5" t="str">
        <f t="shared" si="32"/>
        <v/>
      </c>
      <c r="M410" s="5" t="str">
        <f t="shared" si="33"/>
        <v/>
      </c>
      <c r="R410" s="5" t="str">
        <f>IF($A410="","",IFERROR(VLOOKUP($A410,Sheet1!A:AN,18,0),""))</f>
        <v/>
      </c>
      <c r="S410" s="5" t="str">
        <f>IF($A410="","",IFERROR(VLOOKUP($A410,Sheet1!$A:$AN,19,0),""))</f>
        <v/>
      </c>
      <c r="T410" s="5" t="str">
        <f t="shared" si="34"/>
        <v/>
      </c>
      <c r="U410" s="5" t="str">
        <f>IF($A410="","",IFERROR(VLOOKUP($A410,Sheet1!$A:$AN,21,0),""))</f>
        <v/>
      </c>
      <c r="V410" s="5" t="str">
        <f>IF($A410="","",IFERROR(SUBSTITUTE(VLOOKUP($A410,Sheet1!$A:$AN,22,0),"族",""),""))</f>
        <v/>
      </c>
      <c r="W410" s="5" t="str">
        <f>IF($A410="","",IFERROR(VLOOKUP($A410,Sheet1!$A:$AN,23,0),""))</f>
        <v/>
      </c>
      <c r="X410" s="5" t="str">
        <f>IF($A410="","",IFERROR(VLOOKUP($A410,Sheet1!$A:$AN,24,0),""))</f>
        <v/>
      </c>
      <c r="Y410" s="5" t="str">
        <f>IF($A410="","",IFERROR(VLOOKUP($A410,Sheet1!$A:$AN,25,0),""))</f>
        <v/>
      </c>
      <c r="AK410" s="5" t="str">
        <f>IF($A410="","",IFERROR(VLOOKUP($A410,Sheet1!$A:$AN,37,0),""))</f>
        <v/>
      </c>
      <c r="AL410" s="13" t="str">
        <f>IF($A410="","",IFERROR(VLOOKUP($A410,Sheet1!$A:$AN,38,0),""))</f>
        <v/>
      </c>
      <c r="AM410" s="13" t="str">
        <f>IF($A410="","",IFERROR(VLOOKUP($A410,Sheet1!$A:$AN,39,0),""))</f>
        <v/>
      </c>
      <c r="AN410" s="13" t="str">
        <f>IF($A410="","",IFERROR(VLOOKUP($A410,Sheet1!$A:$AN,40,0),""))</f>
        <v/>
      </c>
    </row>
    <row r="411" customHeight="1" spans="1:40">
      <c r="A411" s="5" t="str">
        <f>IF(Sheet1!$A411="","",Sheet1!$A411)</f>
        <v/>
      </c>
      <c r="B411" s="5" t="str">
        <f t="shared" si="30"/>
        <v/>
      </c>
      <c r="C411" s="5" t="str">
        <f>IF($A411="","",IFERROR(VLOOKUP($A411,Sheet1!$A:$AN,3,0),""))</f>
        <v/>
      </c>
      <c r="D411" s="5" t="str">
        <f t="shared" si="31"/>
        <v/>
      </c>
      <c r="I411" s="5" t="str">
        <f t="shared" si="32"/>
        <v/>
      </c>
      <c r="M411" s="5" t="str">
        <f t="shared" si="33"/>
        <v/>
      </c>
      <c r="R411" s="5" t="str">
        <f>IF($A411="","",IFERROR(VLOOKUP($A411,Sheet1!A:AN,18,0),""))</f>
        <v/>
      </c>
      <c r="S411" s="5" t="str">
        <f>IF($A411="","",IFERROR(VLOOKUP($A411,Sheet1!$A:$AN,19,0),""))</f>
        <v/>
      </c>
      <c r="T411" s="5" t="str">
        <f t="shared" si="34"/>
        <v/>
      </c>
      <c r="U411" s="5" t="str">
        <f>IF($A411="","",IFERROR(VLOOKUP($A411,Sheet1!$A:$AN,21,0),""))</f>
        <v/>
      </c>
      <c r="V411" s="5" t="str">
        <f>IF($A411="","",IFERROR(SUBSTITUTE(VLOOKUP($A411,Sheet1!$A:$AN,22,0),"族",""),""))</f>
        <v/>
      </c>
      <c r="W411" s="5" t="str">
        <f>IF($A411="","",IFERROR(VLOOKUP($A411,Sheet1!$A:$AN,23,0),""))</f>
        <v/>
      </c>
      <c r="X411" s="5" t="str">
        <f>IF($A411="","",IFERROR(VLOOKUP($A411,Sheet1!$A:$AN,24,0),""))</f>
        <v/>
      </c>
      <c r="Y411" s="5" t="str">
        <f>IF($A411="","",IFERROR(VLOOKUP($A411,Sheet1!$A:$AN,25,0),""))</f>
        <v/>
      </c>
      <c r="AK411" s="5" t="str">
        <f>IF($A411="","",IFERROR(VLOOKUP($A411,Sheet1!$A:$AN,37,0),""))</f>
        <v/>
      </c>
      <c r="AL411" s="13" t="str">
        <f>IF($A411="","",IFERROR(VLOOKUP($A411,Sheet1!$A:$AN,38,0),""))</f>
        <v/>
      </c>
      <c r="AM411" s="13" t="str">
        <f>IF($A411="","",IFERROR(VLOOKUP($A411,Sheet1!$A:$AN,39,0),""))</f>
        <v/>
      </c>
      <c r="AN411" s="13" t="str">
        <f>IF($A411="","",IFERROR(VLOOKUP($A411,Sheet1!$A:$AN,40,0),""))</f>
        <v/>
      </c>
    </row>
    <row r="412" customHeight="1" spans="1:40">
      <c r="A412" s="5" t="str">
        <f>IF(Sheet1!$A412="","",Sheet1!$A412)</f>
        <v/>
      </c>
      <c r="B412" s="5" t="str">
        <f t="shared" si="30"/>
        <v/>
      </c>
      <c r="C412" s="5" t="str">
        <f>IF($A412="","",IFERROR(VLOOKUP($A412,Sheet1!$A:$AN,3,0),""))</f>
        <v/>
      </c>
      <c r="D412" s="5" t="str">
        <f t="shared" si="31"/>
        <v/>
      </c>
      <c r="I412" s="5" t="str">
        <f t="shared" si="32"/>
        <v/>
      </c>
      <c r="M412" s="5" t="str">
        <f t="shared" si="33"/>
        <v/>
      </c>
      <c r="R412" s="5" t="str">
        <f>IF($A412="","",IFERROR(VLOOKUP($A412,Sheet1!A:AN,18,0),""))</f>
        <v/>
      </c>
      <c r="S412" s="5" t="str">
        <f>IF($A412="","",IFERROR(VLOOKUP($A412,Sheet1!$A:$AN,19,0),""))</f>
        <v/>
      </c>
      <c r="T412" s="5" t="str">
        <f t="shared" si="34"/>
        <v/>
      </c>
      <c r="U412" s="5" t="str">
        <f>IF($A412="","",IFERROR(VLOOKUP($A412,Sheet1!$A:$AN,21,0),""))</f>
        <v/>
      </c>
      <c r="V412" s="5" t="str">
        <f>IF($A412="","",IFERROR(SUBSTITUTE(VLOOKUP($A412,Sheet1!$A:$AN,22,0),"族",""),""))</f>
        <v/>
      </c>
      <c r="W412" s="5" t="str">
        <f>IF($A412="","",IFERROR(VLOOKUP($A412,Sheet1!$A:$AN,23,0),""))</f>
        <v/>
      </c>
      <c r="X412" s="5" t="str">
        <f>IF($A412="","",IFERROR(VLOOKUP($A412,Sheet1!$A:$AN,24,0),""))</f>
        <v/>
      </c>
      <c r="Y412" s="5" t="str">
        <f>IF($A412="","",IFERROR(VLOOKUP($A412,Sheet1!$A:$AN,25,0),""))</f>
        <v/>
      </c>
      <c r="AK412" s="5" t="str">
        <f>IF($A412="","",IFERROR(VLOOKUP($A412,Sheet1!$A:$AN,37,0),""))</f>
        <v/>
      </c>
      <c r="AL412" s="13" t="str">
        <f>IF($A412="","",IFERROR(VLOOKUP($A412,Sheet1!$A:$AN,38,0),""))</f>
        <v/>
      </c>
      <c r="AM412" s="13" t="str">
        <f>IF($A412="","",IFERROR(VLOOKUP($A412,Sheet1!$A:$AN,39,0),""))</f>
        <v/>
      </c>
      <c r="AN412" s="13" t="str">
        <f>IF($A412="","",IFERROR(VLOOKUP($A412,Sheet1!$A:$AN,40,0),""))</f>
        <v/>
      </c>
    </row>
    <row r="413" customHeight="1" spans="1:40">
      <c r="A413" s="5" t="str">
        <f>IF(Sheet1!$A413="","",Sheet1!$A413)</f>
        <v/>
      </c>
      <c r="B413" s="5" t="str">
        <f t="shared" si="30"/>
        <v/>
      </c>
      <c r="C413" s="5" t="str">
        <f>IF($A413="","",IFERROR(VLOOKUP($A413,Sheet1!$A:$AN,3,0),""))</f>
        <v/>
      </c>
      <c r="D413" s="5" t="str">
        <f t="shared" si="31"/>
        <v/>
      </c>
      <c r="I413" s="5" t="str">
        <f t="shared" si="32"/>
        <v/>
      </c>
      <c r="M413" s="5" t="str">
        <f t="shared" si="33"/>
        <v/>
      </c>
      <c r="R413" s="5" t="str">
        <f>IF($A413="","",IFERROR(VLOOKUP($A413,Sheet1!A:AN,18,0),""))</f>
        <v/>
      </c>
      <c r="S413" s="5" t="str">
        <f>IF($A413="","",IFERROR(VLOOKUP($A413,Sheet1!$A:$AN,19,0),""))</f>
        <v/>
      </c>
      <c r="T413" s="5" t="str">
        <f t="shared" si="34"/>
        <v/>
      </c>
      <c r="U413" s="5" t="str">
        <f>IF($A413="","",IFERROR(VLOOKUP($A413,Sheet1!$A:$AN,21,0),""))</f>
        <v/>
      </c>
      <c r="V413" s="5" t="str">
        <f>IF($A413="","",IFERROR(SUBSTITUTE(VLOOKUP($A413,Sheet1!$A:$AN,22,0),"族",""),""))</f>
        <v/>
      </c>
      <c r="W413" s="5" t="str">
        <f>IF($A413="","",IFERROR(VLOOKUP($A413,Sheet1!$A:$AN,23,0),""))</f>
        <v/>
      </c>
      <c r="X413" s="5" t="str">
        <f>IF($A413="","",IFERROR(VLOOKUP($A413,Sheet1!$A:$AN,24,0),""))</f>
        <v/>
      </c>
      <c r="Y413" s="5" t="str">
        <f>IF($A413="","",IFERROR(VLOOKUP($A413,Sheet1!$A:$AN,25,0),""))</f>
        <v/>
      </c>
      <c r="AK413" s="5" t="str">
        <f>IF($A413="","",IFERROR(VLOOKUP($A413,Sheet1!$A:$AN,37,0),""))</f>
        <v/>
      </c>
      <c r="AL413" s="13" t="str">
        <f>IF($A413="","",IFERROR(VLOOKUP($A413,Sheet1!$A:$AN,38,0),""))</f>
        <v/>
      </c>
      <c r="AM413" s="13" t="str">
        <f>IF($A413="","",IFERROR(VLOOKUP($A413,Sheet1!$A:$AN,39,0),""))</f>
        <v/>
      </c>
      <c r="AN413" s="13" t="str">
        <f>IF($A413="","",IFERROR(VLOOKUP($A413,Sheet1!$A:$AN,40,0),""))</f>
        <v/>
      </c>
    </row>
    <row r="414" customHeight="1" spans="1:40">
      <c r="A414" s="5" t="str">
        <f>IF(Sheet1!$A414="","",Sheet1!$A414)</f>
        <v/>
      </c>
      <c r="B414" s="5" t="str">
        <f t="shared" si="30"/>
        <v/>
      </c>
      <c r="C414" s="5" t="str">
        <f>IF($A414="","",IFERROR(VLOOKUP($A414,Sheet1!$A:$AN,3,0),""))</f>
        <v/>
      </c>
      <c r="D414" s="5" t="str">
        <f t="shared" si="31"/>
        <v/>
      </c>
      <c r="I414" s="5" t="str">
        <f t="shared" si="32"/>
        <v/>
      </c>
      <c r="M414" s="5" t="str">
        <f t="shared" si="33"/>
        <v/>
      </c>
      <c r="R414" s="5" t="str">
        <f>IF($A414="","",IFERROR(VLOOKUP($A414,Sheet1!A:AN,18,0),""))</f>
        <v/>
      </c>
      <c r="S414" s="5" t="str">
        <f>IF($A414="","",IFERROR(VLOOKUP($A414,Sheet1!$A:$AN,19,0),""))</f>
        <v/>
      </c>
      <c r="T414" s="5" t="str">
        <f t="shared" si="34"/>
        <v/>
      </c>
      <c r="U414" s="5" t="str">
        <f>IF($A414="","",IFERROR(VLOOKUP($A414,Sheet1!$A:$AN,21,0),""))</f>
        <v/>
      </c>
      <c r="V414" s="5" t="str">
        <f>IF($A414="","",IFERROR(SUBSTITUTE(VLOOKUP($A414,Sheet1!$A:$AN,22,0),"族",""),""))</f>
        <v/>
      </c>
      <c r="W414" s="5" t="str">
        <f>IF($A414="","",IFERROR(VLOOKUP($A414,Sheet1!$A:$AN,23,0),""))</f>
        <v/>
      </c>
      <c r="X414" s="5" t="str">
        <f>IF($A414="","",IFERROR(VLOOKUP($A414,Sheet1!$A:$AN,24,0),""))</f>
        <v/>
      </c>
      <c r="Y414" s="5" t="str">
        <f>IF($A414="","",IFERROR(VLOOKUP($A414,Sheet1!$A:$AN,25,0),""))</f>
        <v/>
      </c>
      <c r="AK414" s="5" t="str">
        <f>IF($A414="","",IFERROR(VLOOKUP($A414,Sheet1!$A:$AN,37,0),""))</f>
        <v/>
      </c>
      <c r="AL414" s="13" t="str">
        <f>IF($A414="","",IFERROR(VLOOKUP($A414,Sheet1!$A:$AN,38,0),""))</f>
        <v/>
      </c>
      <c r="AM414" s="13" t="str">
        <f>IF($A414="","",IFERROR(VLOOKUP($A414,Sheet1!$A:$AN,39,0),""))</f>
        <v/>
      </c>
      <c r="AN414" s="13" t="str">
        <f>IF($A414="","",IFERROR(VLOOKUP($A414,Sheet1!$A:$AN,40,0),""))</f>
        <v/>
      </c>
    </row>
    <row r="415" customHeight="1" spans="1:40">
      <c r="A415" s="5" t="str">
        <f>IF(Sheet1!$A415="","",Sheet1!$A415)</f>
        <v/>
      </c>
      <c r="B415" s="5" t="str">
        <f t="shared" si="30"/>
        <v/>
      </c>
      <c r="C415" s="5" t="str">
        <f>IF($A415="","",IFERROR(VLOOKUP($A415,Sheet1!$A:$AN,3,0),""))</f>
        <v/>
      </c>
      <c r="D415" s="5" t="str">
        <f t="shared" si="31"/>
        <v/>
      </c>
      <c r="I415" s="5" t="str">
        <f t="shared" si="32"/>
        <v/>
      </c>
      <c r="M415" s="5" t="str">
        <f t="shared" si="33"/>
        <v/>
      </c>
      <c r="R415" s="5" t="str">
        <f>IF($A415="","",IFERROR(VLOOKUP($A415,Sheet1!A:AN,18,0),""))</f>
        <v/>
      </c>
      <c r="S415" s="5" t="str">
        <f>IF($A415="","",IFERROR(VLOOKUP($A415,Sheet1!$A:$AN,19,0),""))</f>
        <v/>
      </c>
      <c r="T415" s="5" t="str">
        <f t="shared" si="34"/>
        <v/>
      </c>
      <c r="U415" s="5" t="str">
        <f>IF($A415="","",IFERROR(VLOOKUP($A415,Sheet1!$A:$AN,21,0),""))</f>
        <v/>
      </c>
      <c r="V415" s="5" t="str">
        <f>IF($A415="","",IFERROR(SUBSTITUTE(VLOOKUP($A415,Sheet1!$A:$AN,22,0),"族",""),""))</f>
        <v/>
      </c>
      <c r="W415" s="5" t="str">
        <f>IF($A415="","",IFERROR(VLOOKUP($A415,Sheet1!$A:$AN,23,0),""))</f>
        <v/>
      </c>
      <c r="X415" s="5" t="str">
        <f>IF($A415="","",IFERROR(VLOOKUP($A415,Sheet1!$A:$AN,24,0),""))</f>
        <v/>
      </c>
      <c r="Y415" s="5" t="str">
        <f>IF($A415="","",IFERROR(VLOOKUP($A415,Sheet1!$A:$AN,25,0),""))</f>
        <v/>
      </c>
      <c r="AK415" s="5" t="str">
        <f>IF($A415="","",IFERROR(VLOOKUP($A415,Sheet1!$A:$AN,37,0),""))</f>
        <v/>
      </c>
      <c r="AL415" s="13" t="str">
        <f>IF($A415="","",IFERROR(VLOOKUP($A415,Sheet1!$A:$AN,38,0),""))</f>
        <v/>
      </c>
      <c r="AM415" s="13" t="str">
        <f>IF($A415="","",IFERROR(VLOOKUP($A415,Sheet1!$A:$AN,39,0),""))</f>
        <v/>
      </c>
      <c r="AN415" s="13" t="str">
        <f>IF($A415="","",IFERROR(VLOOKUP($A415,Sheet1!$A:$AN,40,0),""))</f>
        <v/>
      </c>
    </row>
    <row r="416" customHeight="1" spans="1:40">
      <c r="A416" s="5" t="str">
        <f>IF(Sheet1!$A416="","",Sheet1!$A416)</f>
        <v/>
      </c>
      <c r="B416" s="5" t="str">
        <f t="shared" si="30"/>
        <v/>
      </c>
      <c r="C416" s="5" t="str">
        <f>IF($A416="","",IFERROR(VLOOKUP($A416,Sheet1!$A:$AN,3,0),""))</f>
        <v/>
      </c>
      <c r="D416" s="5" t="str">
        <f t="shared" si="31"/>
        <v/>
      </c>
      <c r="I416" s="5" t="str">
        <f t="shared" si="32"/>
        <v/>
      </c>
      <c r="M416" s="5" t="str">
        <f t="shared" si="33"/>
        <v/>
      </c>
      <c r="R416" s="5" t="str">
        <f>IF($A416="","",IFERROR(VLOOKUP($A416,Sheet1!A:AN,18,0),""))</f>
        <v/>
      </c>
      <c r="S416" s="5" t="str">
        <f>IF($A416="","",IFERROR(VLOOKUP($A416,Sheet1!$A:$AN,19,0),""))</f>
        <v/>
      </c>
      <c r="T416" s="5" t="str">
        <f t="shared" si="34"/>
        <v/>
      </c>
      <c r="U416" s="5" t="str">
        <f>IF($A416="","",IFERROR(VLOOKUP($A416,Sheet1!$A:$AN,21,0),""))</f>
        <v/>
      </c>
      <c r="V416" s="5" t="str">
        <f>IF($A416="","",IFERROR(SUBSTITUTE(VLOOKUP($A416,Sheet1!$A:$AN,22,0),"族",""),""))</f>
        <v/>
      </c>
      <c r="W416" s="5" t="str">
        <f>IF($A416="","",IFERROR(VLOOKUP($A416,Sheet1!$A:$AN,23,0),""))</f>
        <v/>
      </c>
      <c r="X416" s="5" t="str">
        <f>IF($A416="","",IFERROR(VLOOKUP($A416,Sheet1!$A:$AN,24,0),""))</f>
        <v/>
      </c>
      <c r="Y416" s="5" t="str">
        <f>IF($A416="","",IFERROR(VLOOKUP($A416,Sheet1!$A:$AN,25,0),""))</f>
        <v/>
      </c>
      <c r="AK416" s="5" t="str">
        <f>IF($A416="","",IFERROR(VLOOKUP($A416,Sheet1!$A:$AN,37,0),""))</f>
        <v/>
      </c>
      <c r="AL416" s="13" t="str">
        <f>IF($A416="","",IFERROR(VLOOKUP($A416,Sheet1!$A:$AN,38,0),""))</f>
        <v/>
      </c>
      <c r="AM416" s="13" t="str">
        <f>IF($A416="","",IFERROR(VLOOKUP($A416,Sheet1!$A:$AN,39,0),""))</f>
        <v/>
      </c>
      <c r="AN416" s="13" t="str">
        <f>IF($A416="","",IFERROR(VLOOKUP($A416,Sheet1!$A:$AN,40,0),""))</f>
        <v/>
      </c>
    </row>
    <row r="417" customHeight="1" spans="1:40">
      <c r="A417" s="5" t="str">
        <f>IF(Sheet1!$A417="","",Sheet1!$A417)</f>
        <v/>
      </c>
      <c r="B417" s="5" t="str">
        <f t="shared" si="30"/>
        <v/>
      </c>
      <c r="C417" s="5" t="str">
        <f>IF($A417="","",IFERROR(VLOOKUP($A417,Sheet1!$A:$AN,3,0),""))</f>
        <v/>
      </c>
      <c r="D417" s="5" t="str">
        <f t="shared" si="31"/>
        <v/>
      </c>
      <c r="I417" s="5" t="str">
        <f t="shared" si="32"/>
        <v/>
      </c>
      <c r="M417" s="5" t="str">
        <f t="shared" si="33"/>
        <v/>
      </c>
      <c r="R417" s="5" t="str">
        <f>IF($A417="","",IFERROR(VLOOKUP($A417,Sheet1!A:AN,18,0),""))</f>
        <v/>
      </c>
      <c r="S417" s="5" t="str">
        <f>IF($A417="","",IFERROR(VLOOKUP($A417,Sheet1!$A:$AN,19,0),""))</f>
        <v/>
      </c>
      <c r="T417" s="5" t="str">
        <f t="shared" si="34"/>
        <v/>
      </c>
      <c r="U417" s="5" t="str">
        <f>IF($A417="","",IFERROR(VLOOKUP($A417,Sheet1!$A:$AN,21,0),""))</f>
        <v/>
      </c>
      <c r="V417" s="5" t="str">
        <f>IF($A417="","",IFERROR(SUBSTITUTE(VLOOKUP($A417,Sheet1!$A:$AN,22,0),"族",""),""))</f>
        <v/>
      </c>
      <c r="W417" s="5" t="str">
        <f>IF($A417="","",IFERROR(VLOOKUP($A417,Sheet1!$A:$AN,23,0),""))</f>
        <v/>
      </c>
      <c r="X417" s="5" t="str">
        <f>IF($A417="","",IFERROR(VLOOKUP($A417,Sheet1!$A:$AN,24,0),""))</f>
        <v/>
      </c>
      <c r="Y417" s="5" t="str">
        <f>IF($A417="","",IFERROR(VLOOKUP($A417,Sheet1!$A:$AN,25,0),""))</f>
        <v/>
      </c>
      <c r="AK417" s="5" t="str">
        <f>IF($A417="","",IFERROR(VLOOKUP($A417,Sheet1!$A:$AN,37,0),""))</f>
        <v/>
      </c>
      <c r="AL417" s="13" t="str">
        <f>IF($A417="","",IFERROR(VLOOKUP($A417,Sheet1!$A:$AN,38,0),""))</f>
        <v/>
      </c>
      <c r="AM417" s="13" t="str">
        <f>IF($A417="","",IFERROR(VLOOKUP($A417,Sheet1!$A:$AN,39,0),""))</f>
        <v/>
      </c>
      <c r="AN417" s="13" t="str">
        <f>IF($A417="","",IFERROR(VLOOKUP($A417,Sheet1!$A:$AN,40,0),""))</f>
        <v/>
      </c>
    </row>
    <row r="418" customHeight="1" spans="1:40">
      <c r="A418" s="5" t="str">
        <f>IF(Sheet1!$A418="","",Sheet1!$A418)</f>
        <v/>
      </c>
      <c r="B418" s="5" t="str">
        <f t="shared" si="30"/>
        <v/>
      </c>
      <c r="C418" s="5" t="str">
        <f>IF($A418="","",IFERROR(VLOOKUP($A418,Sheet1!$A:$AN,3,0),""))</f>
        <v/>
      </c>
      <c r="D418" s="5" t="str">
        <f t="shared" si="31"/>
        <v/>
      </c>
      <c r="I418" s="5" t="str">
        <f t="shared" si="32"/>
        <v/>
      </c>
      <c r="M418" s="5" t="str">
        <f t="shared" si="33"/>
        <v/>
      </c>
      <c r="R418" s="5" t="str">
        <f>IF($A418="","",IFERROR(VLOOKUP($A418,Sheet1!A:AN,18,0),""))</f>
        <v/>
      </c>
      <c r="S418" s="5" t="str">
        <f>IF($A418="","",IFERROR(VLOOKUP($A418,Sheet1!$A:$AN,19,0),""))</f>
        <v/>
      </c>
      <c r="T418" s="5" t="str">
        <f t="shared" si="34"/>
        <v/>
      </c>
      <c r="U418" s="5" t="str">
        <f>IF($A418="","",IFERROR(VLOOKUP($A418,Sheet1!$A:$AN,21,0),""))</f>
        <v/>
      </c>
      <c r="V418" s="5" t="str">
        <f>IF($A418="","",IFERROR(SUBSTITUTE(VLOOKUP($A418,Sheet1!$A:$AN,22,0),"族",""),""))</f>
        <v/>
      </c>
      <c r="W418" s="5" t="str">
        <f>IF($A418="","",IFERROR(VLOOKUP($A418,Sheet1!$A:$AN,23,0),""))</f>
        <v/>
      </c>
      <c r="X418" s="5" t="str">
        <f>IF($A418="","",IFERROR(VLOOKUP($A418,Sheet1!$A:$AN,24,0),""))</f>
        <v/>
      </c>
      <c r="Y418" s="5" t="str">
        <f>IF($A418="","",IFERROR(VLOOKUP($A418,Sheet1!$A:$AN,25,0),""))</f>
        <v/>
      </c>
      <c r="AK418" s="5" t="str">
        <f>IF($A418="","",IFERROR(VLOOKUP($A418,Sheet1!$A:$AN,37,0),""))</f>
        <v/>
      </c>
      <c r="AL418" s="13" t="str">
        <f>IF($A418="","",IFERROR(VLOOKUP($A418,Sheet1!$A:$AN,38,0),""))</f>
        <v/>
      </c>
      <c r="AM418" s="13" t="str">
        <f>IF($A418="","",IFERROR(VLOOKUP($A418,Sheet1!$A:$AN,39,0),""))</f>
        <v/>
      </c>
      <c r="AN418" s="13" t="str">
        <f>IF($A418="","",IFERROR(VLOOKUP($A418,Sheet1!$A:$AN,40,0),""))</f>
        <v/>
      </c>
    </row>
    <row r="419" customHeight="1" spans="1:40">
      <c r="A419" s="5" t="str">
        <f>IF(Sheet1!$A419="","",Sheet1!$A419)</f>
        <v/>
      </c>
      <c r="B419" s="5" t="str">
        <f t="shared" si="30"/>
        <v/>
      </c>
      <c r="C419" s="5" t="str">
        <f>IF($A419="","",IFERROR(VLOOKUP($A419,Sheet1!$A:$AN,3,0),""))</f>
        <v/>
      </c>
      <c r="D419" s="5" t="str">
        <f t="shared" si="31"/>
        <v/>
      </c>
      <c r="I419" s="5" t="str">
        <f t="shared" si="32"/>
        <v/>
      </c>
      <c r="M419" s="5" t="str">
        <f t="shared" si="33"/>
        <v/>
      </c>
      <c r="R419" s="5" t="str">
        <f>IF($A419="","",IFERROR(VLOOKUP($A419,Sheet1!A:AN,18,0),""))</f>
        <v/>
      </c>
      <c r="S419" s="5" t="str">
        <f>IF($A419="","",IFERROR(VLOOKUP($A419,Sheet1!$A:$AN,19,0),""))</f>
        <v/>
      </c>
      <c r="T419" s="5" t="str">
        <f t="shared" si="34"/>
        <v/>
      </c>
      <c r="U419" s="5" t="str">
        <f>IF($A419="","",IFERROR(VLOOKUP($A419,Sheet1!$A:$AN,21,0),""))</f>
        <v/>
      </c>
      <c r="V419" s="5" t="str">
        <f>IF($A419="","",IFERROR(SUBSTITUTE(VLOOKUP($A419,Sheet1!$A:$AN,22,0),"族",""),""))</f>
        <v/>
      </c>
      <c r="W419" s="5" t="str">
        <f>IF($A419="","",IFERROR(VLOOKUP($A419,Sheet1!$A:$AN,23,0),""))</f>
        <v/>
      </c>
      <c r="X419" s="5" t="str">
        <f>IF($A419="","",IFERROR(VLOOKUP($A419,Sheet1!$A:$AN,24,0),""))</f>
        <v/>
      </c>
      <c r="Y419" s="5" t="str">
        <f>IF($A419="","",IFERROR(VLOOKUP($A419,Sheet1!$A:$AN,25,0),""))</f>
        <v/>
      </c>
      <c r="AK419" s="5" t="str">
        <f>IF($A419="","",IFERROR(VLOOKUP($A419,Sheet1!$A:$AN,37,0),""))</f>
        <v/>
      </c>
      <c r="AL419" s="13" t="str">
        <f>IF($A419="","",IFERROR(VLOOKUP($A419,Sheet1!$A:$AN,38,0),""))</f>
        <v/>
      </c>
      <c r="AM419" s="13" t="str">
        <f>IF($A419="","",IFERROR(VLOOKUP($A419,Sheet1!$A:$AN,39,0),""))</f>
        <v/>
      </c>
      <c r="AN419" s="13" t="str">
        <f>IF($A419="","",IFERROR(VLOOKUP($A419,Sheet1!$A:$AN,40,0),""))</f>
        <v/>
      </c>
    </row>
    <row r="420" customHeight="1" spans="1:40">
      <c r="A420" s="5" t="str">
        <f>IF(Sheet1!$A420="","",Sheet1!$A420)</f>
        <v/>
      </c>
      <c r="B420" s="5" t="str">
        <f t="shared" si="30"/>
        <v/>
      </c>
      <c r="C420" s="5" t="str">
        <f>IF($A420="","",IFERROR(VLOOKUP($A420,Sheet1!$A:$AN,3,0),""))</f>
        <v/>
      </c>
      <c r="D420" s="5" t="str">
        <f t="shared" si="31"/>
        <v/>
      </c>
      <c r="I420" s="5" t="str">
        <f t="shared" si="32"/>
        <v/>
      </c>
      <c r="M420" s="5" t="str">
        <f t="shared" si="33"/>
        <v/>
      </c>
      <c r="R420" s="5" t="str">
        <f>IF($A420="","",IFERROR(VLOOKUP($A420,Sheet1!A:AN,18,0),""))</f>
        <v/>
      </c>
      <c r="S420" s="5" t="str">
        <f>IF($A420="","",IFERROR(VLOOKUP($A420,Sheet1!$A:$AN,19,0),""))</f>
        <v/>
      </c>
      <c r="T420" s="5" t="str">
        <f t="shared" si="34"/>
        <v/>
      </c>
      <c r="U420" s="5" t="str">
        <f>IF($A420="","",IFERROR(VLOOKUP($A420,Sheet1!$A:$AN,21,0),""))</f>
        <v/>
      </c>
      <c r="V420" s="5" t="str">
        <f>IF($A420="","",IFERROR(SUBSTITUTE(VLOOKUP($A420,Sheet1!$A:$AN,22,0),"族",""),""))</f>
        <v/>
      </c>
      <c r="W420" s="5" t="str">
        <f>IF($A420="","",IFERROR(VLOOKUP($A420,Sheet1!$A:$AN,23,0),""))</f>
        <v/>
      </c>
      <c r="X420" s="5" t="str">
        <f>IF($A420="","",IFERROR(VLOOKUP($A420,Sheet1!$A:$AN,24,0),""))</f>
        <v/>
      </c>
      <c r="Y420" s="5" t="str">
        <f>IF($A420="","",IFERROR(VLOOKUP($A420,Sheet1!$A:$AN,25,0),""))</f>
        <v/>
      </c>
      <c r="AK420" s="5" t="str">
        <f>IF($A420="","",IFERROR(VLOOKUP($A420,Sheet1!$A:$AN,37,0),""))</f>
        <v/>
      </c>
      <c r="AL420" s="13" t="str">
        <f>IF($A420="","",IFERROR(VLOOKUP($A420,Sheet1!$A:$AN,38,0),""))</f>
        <v/>
      </c>
      <c r="AM420" s="13" t="str">
        <f>IF($A420="","",IFERROR(VLOOKUP($A420,Sheet1!$A:$AN,39,0),""))</f>
        <v/>
      </c>
      <c r="AN420" s="13" t="str">
        <f>IF($A420="","",IFERROR(VLOOKUP($A420,Sheet1!$A:$AN,40,0),""))</f>
        <v/>
      </c>
    </row>
    <row r="421" customHeight="1" spans="1:40">
      <c r="A421" s="5" t="str">
        <f>IF(Sheet1!$A421="","",Sheet1!$A421)</f>
        <v/>
      </c>
      <c r="B421" s="5" t="str">
        <f t="shared" si="30"/>
        <v/>
      </c>
      <c r="C421" s="5" t="str">
        <f>IF($A421="","",IFERROR(VLOOKUP($A421,Sheet1!$A:$AN,3,0),""))</f>
        <v/>
      </c>
      <c r="D421" s="5" t="str">
        <f t="shared" si="31"/>
        <v/>
      </c>
      <c r="I421" s="5" t="str">
        <f t="shared" si="32"/>
        <v/>
      </c>
      <c r="M421" s="5" t="str">
        <f t="shared" si="33"/>
        <v/>
      </c>
      <c r="R421" s="5" t="str">
        <f>IF($A421="","",IFERROR(VLOOKUP($A421,Sheet1!A:AN,18,0),""))</f>
        <v/>
      </c>
      <c r="S421" s="5" t="str">
        <f>IF($A421="","",IFERROR(VLOOKUP($A421,Sheet1!$A:$AN,19,0),""))</f>
        <v/>
      </c>
      <c r="T421" s="5" t="str">
        <f t="shared" si="34"/>
        <v/>
      </c>
      <c r="U421" s="5" t="str">
        <f>IF($A421="","",IFERROR(VLOOKUP($A421,Sheet1!$A:$AN,21,0),""))</f>
        <v/>
      </c>
      <c r="V421" s="5" t="str">
        <f>IF($A421="","",IFERROR(SUBSTITUTE(VLOOKUP($A421,Sheet1!$A:$AN,22,0),"族",""),""))</f>
        <v/>
      </c>
      <c r="W421" s="5" t="str">
        <f>IF($A421="","",IFERROR(VLOOKUP($A421,Sheet1!$A:$AN,23,0),""))</f>
        <v/>
      </c>
      <c r="X421" s="5" t="str">
        <f>IF($A421="","",IFERROR(VLOOKUP($A421,Sheet1!$A:$AN,24,0),""))</f>
        <v/>
      </c>
      <c r="Y421" s="5" t="str">
        <f>IF($A421="","",IFERROR(VLOOKUP($A421,Sheet1!$A:$AN,25,0),""))</f>
        <v/>
      </c>
      <c r="AK421" s="5" t="str">
        <f>IF($A421="","",IFERROR(VLOOKUP($A421,Sheet1!$A:$AN,37,0),""))</f>
        <v/>
      </c>
      <c r="AL421" s="13" t="str">
        <f>IF($A421="","",IFERROR(VLOOKUP($A421,Sheet1!$A:$AN,38,0),""))</f>
        <v/>
      </c>
      <c r="AM421" s="13" t="str">
        <f>IF($A421="","",IFERROR(VLOOKUP($A421,Sheet1!$A:$AN,39,0),""))</f>
        <v/>
      </c>
      <c r="AN421" s="13" t="str">
        <f>IF($A421="","",IFERROR(VLOOKUP($A421,Sheet1!$A:$AN,40,0),""))</f>
        <v/>
      </c>
    </row>
    <row r="422" customHeight="1" spans="1:40">
      <c r="A422" s="5" t="str">
        <f>IF(Sheet1!$A422="","",Sheet1!$A422)</f>
        <v/>
      </c>
      <c r="B422" s="5" t="str">
        <f t="shared" si="30"/>
        <v/>
      </c>
      <c r="C422" s="5" t="str">
        <f>IF($A422="","",IFERROR(VLOOKUP($A422,Sheet1!$A:$AN,3,0),""))</f>
        <v/>
      </c>
      <c r="D422" s="5" t="str">
        <f t="shared" si="31"/>
        <v/>
      </c>
      <c r="I422" s="5" t="str">
        <f t="shared" si="32"/>
        <v/>
      </c>
      <c r="M422" s="5" t="str">
        <f t="shared" si="33"/>
        <v/>
      </c>
      <c r="R422" s="5" t="str">
        <f>IF($A422="","",IFERROR(VLOOKUP($A422,Sheet1!A:AN,18,0),""))</f>
        <v/>
      </c>
      <c r="S422" s="5" t="str">
        <f>IF($A422="","",IFERROR(VLOOKUP($A422,Sheet1!$A:$AN,19,0),""))</f>
        <v/>
      </c>
      <c r="T422" s="5" t="str">
        <f t="shared" si="34"/>
        <v/>
      </c>
      <c r="U422" s="5" t="str">
        <f>IF($A422="","",IFERROR(VLOOKUP($A422,Sheet1!$A:$AN,21,0),""))</f>
        <v/>
      </c>
      <c r="V422" s="5" t="str">
        <f>IF($A422="","",IFERROR(SUBSTITUTE(VLOOKUP($A422,Sheet1!$A:$AN,22,0),"族",""),""))</f>
        <v/>
      </c>
      <c r="W422" s="5" t="str">
        <f>IF($A422="","",IFERROR(VLOOKUP($A422,Sheet1!$A:$AN,23,0),""))</f>
        <v/>
      </c>
      <c r="X422" s="5" t="str">
        <f>IF($A422="","",IFERROR(VLOOKUP($A422,Sheet1!$A:$AN,24,0),""))</f>
        <v/>
      </c>
      <c r="Y422" s="5" t="str">
        <f>IF($A422="","",IFERROR(VLOOKUP($A422,Sheet1!$A:$AN,25,0),""))</f>
        <v/>
      </c>
      <c r="AK422" s="5" t="str">
        <f>IF($A422="","",IFERROR(VLOOKUP($A422,Sheet1!$A:$AN,37,0),""))</f>
        <v/>
      </c>
      <c r="AL422" s="13" t="str">
        <f>IF($A422="","",IFERROR(VLOOKUP($A422,Sheet1!$A:$AN,38,0),""))</f>
        <v/>
      </c>
      <c r="AM422" s="13" t="str">
        <f>IF($A422="","",IFERROR(VLOOKUP($A422,Sheet1!$A:$AN,39,0),""))</f>
        <v/>
      </c>
      <c r="AN422" s="13" t="str">
        <f>IF($A422="","",IFERROR(VLOOKUP($A422,Sheet1!$A:$AN,40,0),""))</f>
        <v/>
      </c>
    </row>
    <row r="423" customHeight="1" spans="1:40">
      <c r="A423" s="5" t="str">
        <f>IF(Sheet1!$A423="","",Sheet1!$A423)</f>
        <v/>
      </c>
      <c r="B423" s="5" t="str">
        <f t="shared" si="30"/>
        <v/>
      </c>
      <c r="C423" s="5" t="str">
        <f>IF($A423="","",IFERROR(VLOOKUP($A423,Sheet1!$A:$AN,3,0),""))</f>
        <v/>
      </c>
      <c r="D423" s="5" t="str">
        <f t="shared" si="31"/>
        <v/>
      </c>
      <c r="I423" s="5" t="str">
        <f t="shared" si="32"/>
        <v/>
      </c>
      <c r="M423" s="5" t="str">
        <f t="shared" si="33"/>
        <v/>
      </c>
      <c r="R423" s="5" t="str">
        <f>IF($A423="","",IFERROR(VLOOKUP($A423,Sheet1!A:AN,18,0),""))</f>
        <v/>
      </c>
      <c r="S423" s="5" t="str">
        <f>IF($A423="","",IFERROR(VLOOKUP($A423,Sheet1!$A:$AN,19,0),""))</f>
        <v/>
      </c>
      <c r="T423" s="5" t="str">
        <f t="shared" si="34"/>
        <v/>
      </c>
      <c r="U423" s="5" t="str">
        <f>IF($A423="","",IFERROR(VLOOKUP($A423,Sheet1!$A:$AN,21,0),""))</f>
        <v/>
      </c>
      <c r="V423" s="5" t="str">
        <f>IF($A423="","",IFERROR(SUBSTITUTE(VLOOKUP($A423,Sheet1!$A:$AN,22,0),"族",""),""))</f>
        <v/>
      </c>
      <c r="W423" s="5" t="str">
        <f>IF($A423="","",IFERROR(VLOOKUP($A423,Sheet1!$A:$AN,23,0),""))</f>
        <v/>
      </c>
      <c r="X423" s="5" t="str">
        <f>IF($A423="","",IFERROR(VLOOKUP($A423,Sheet1!$A:$AN,24,0),""))</f>
        <v/>
      </c>
      <c r="Y423" s="5" t="str">
        <f>IF($A423="","",IFERROR(VLOOKUP($A423,Sheet1!$A:$AN,25,0),""))</f>
        <v/>
      </c>
      <c r="AK423" s="5" t="str">
        <f>IF($A423="","",IFERROR(VLOOKUP($A423,Sheet1!$A:$AN,37,0),""))</f>
        <v/>
      </c>
      <c r="AL423" s="13" t="str">
        <f>IF($A423="","",IFERROR(VLOOKUP($A423,Sheet1!$A:$AN,38,0),""))</f>
        <v/>
      </c>
      <c r="AM423" s="13" t="str">
        <f>IF($A423="","",IFERROR(VLOOKUP($A423,Sheet1!$A:$AN,39,0),""))</f>
        <v/>
      </c>
      <c r="AN423" s="13" t="str">
        <f>IF($A423="","",IFERROR(VLOOKUP($A423,Sheet1!$A:$AN,40,0),""))</f>
        <v/>
      </c>
    </row>
    <row r="424" customHeight="1" spans="1:40">
      <c r="A424" s="5" t="str">
        <f>IF(Sheet1!$A424="","",Sheet1!$A424)</f>
        <v/>
      </c>
      <c r="B424" s="5" t="str">
        <f t="shared" si="30"/>
        <v/>
      </c>
      <c r="C424" s="5" t="str">
        <f>IF($A424="","",IFERROR(VLOOKUP($A424,Sheet1!$A:$AN,3,0),""))</f>
        <v/>
      </c>
      <c r="D424" s="5" t="str">
        <f t="shared" si="31"/>
        <v/>
      </c>
      <c r="I424" s="5" t="str">
        <f t="shared" si="32"/>
        <v/>
      </c>
      <c r="M424" s="5" t="str">
        <f t="shared" si="33"/>
        <v/>
      </c>
      <c r="R424" s="5" t="str">
        <f>IF($A424="","",IFERROR(VLOOKUP($A424,Sheet1!A:AN,18,0),""))</f>
        <v/>
      </c>
      <c r="S424" s="5" t="str">
        <f>IF($A424="","",IFERROR(VLOOKUP($A424,Sheet1!$A:$AN,19,0),""))</f>
        <v/>
      </c>
      <c r="T424" s="5" t="str">
        <f t="shared" si="34"/>
        <v/>
      </c>
      <c r="U424" s="5" t="str">
        <f>IF($A424="","",IFERROR(VLOOKUP($A424,Sheet1!$A:$AN,21,0),""))</f>
        <v/>
      </c>
      <c r="V424" s="5" t="str">
        <f>IF($A424="","",IFERROR(SUBSTITUTE(VLOOKUP($A424,Sheet1!$A:$AN,22,0),"族",""),""))</f>
        <v/>
      </c>
      <c r="W424" s="5" t="str">
        <f>IF($A424="","",IFERROR(VLOOKUP($A424,Sheet1!$A:$AN,23,0),""))</f>
        <v/>
      </c>
      <c r="X424" s="5" t="str">
        <f>IF($A424="","",IFERROR(VLOOKUP($A424,Sheet1!$A:$AN,24,0),""))</f>
        <v/>
      </c>
      <c r="Y424" s="5" t="str">
        <f>IF($A424="","",IFERROR(VLOOKUP($A424,Sheet1!$A:$AN,25,0),""))</f>
        <v/>
      </c>
      <c r="AK424" s="5" t="str">
        <f>IF($A424="","",IFERROR(VLOOKUP($A424,Sheet1!$A:$AN,37,0),""))</f>
        <v/>
      </c>
      <c r="AL424" s="13" t="str">
        <f>IF($A424="","",IFERROR(VLOOKUP($A424,Sheet1!$A:$AN,38,0),""))</f>
        <v/>
      </c>
      <c r="AM424" s="13" t="str">
        <f>IF($A424="","",IFERROR(VLOOKUP($A424,Sheet1!$A:$AN,39,0),""))</f>
        <v/>
      </c>
      <c r="AN424" s="13" t="str">
        <f>IF($A424="","",IFERROR(VLOOKUP($A424,Sheet1!$A:$AN,40,0),""))</f>
        <v/>
      </c>
    </row>
    <row r="425" customHeight="1" spans="1:40">
      <c r="A425" s="5" t="str">
        <f>IF(Sheet1!$A425="","",Sheet1!$A425)</f>
        <v/>
      </c>
      <c r="B425" s="5" t="str">
        <f t="shared" si="30"/>
        <v/>
      </c>
      <c r="C425" s="5" t="str">
        <f>IF($A425="","",IFERROR(VLOOKUP($A425,Sheet1!$A:$AN,3,0),""))</f>
        <v/>
      </c>
      <c r="D425" s="5" t="str">
        <f t="shared" si="31"/>
        <v/>
      </c>
      <c r="I425" s="5" t="str">
        <f t="shared" si="32"/>
        <v/>
      </c>
      <c r="M425" s="5" t="str">
        <f t="shared" si="33"/>
        <v/>
      </c>
      <c r="R425" s="5" t="str">
        <f>IF($A425="","",IFERROR(VLOOKUP($A425,Sheet1!A:AN,18,0),""))</f>
        <v/>
      </c>
      <c r="S425" s="5" t="str">
        <f>IF($A425="","",IFERROR(VLOOKUP($A425,Sheet1!$A:$AN,19,0),""))</f>
        <v/>
      </c>
      <c r="T425" s="5" t="str">
        <f t="shared" si="34"/>
        <v/>
      </c>
      <c r="U425" s="5" t="str">
        <f>IF($A425="","",IFERROR(VLOOKUP($A425,Sheet1!$A:$AN,21,0),""))</f>
        <v/>
      </c>
      <c r="V425" s="5" t="str">
        <f>IF($A425="","",IFERROR(SUBSTITUTE(VLOOKUP($A425,Sheet1!$A:$AN,22,0),"族",""),""))</f>
        <v/>
      </c>
      <c r="W425" s="5" t="str">
        <f>IF($A425="","",IFERROR(VLOOKUP($A425,Sheet1!$A:$AN,23,0),""))</f>
        <v/>
      </c>
      <c r="X425" s="5" t="str">
        <f>IF($A425="","",IFERROR(VLOOKUP($A425,Sheet1!$A:$AN,24,0),""))</f>
        <v/>
      </c>
      <c r="Y425" s="5" t="str">
        <f>IF($A425="","",IFERROR(VLOOKUP($A425,Sheet1!$A:$AN,25,0),""))</f>
        <v/>
      </c>
      <c r="AK425" s="5" t="str">
        <f>IF($A425="","",IFERROR(VLOOKUP($A425,Sheet1!$A:$AN,37,0),""))</f>
        <v/>
      </c>
      <c r="AL425" s="13" t="str">
        <f>IF($A425="","",IFERROR(VLOOKUP($A425,Sheet1!$A:$AN,38,0),""))</f>
        <v/>
      </c>
      <c r="AM425" s="13" t="str">
        <f>IF($A425="","",IFERROR(VLOOKUP($A425,Sheet1!$A:$AN,39,0),""))</f>
        <v/>
      </c>
      <c r="AN425" s="13" t="str">
        <f>IF($A425="","",IFERROR(VLOOKUP($A425,Sheet1!$A:$AN,40,0),""))</f>
        <v/>
      </c>
    </row>
    <row r="426" customHeight="1" spans="1:40">
      <c r="A426" s="5" t="str">
        <f>IF(Sheet1!$A426="","",Sheet1!$A426)</f>
        <v/>
      </c>
      <c r="B426" s="5" t="str">
        <f t="shared" si="30"/>
        <v/>
      </c>
      <c r="C426" s="5" t="str">
        <f>IF($A426="","",IFERROR(VLOOKUP($A426,Sheet1!$A:$AN,3,0),""))</f>
        <v/>
      </c>
      <c r="D426" s="5" t="str">
        <f t="shared" si="31"/>
        <v/>
      </c>
      <c r="I426" s="5" t="str">
        <f t="shared" si="32"/>
        <v/>
      </c>
      <c r="M426" s="5" t="str">
        <f t="shared" si="33"/>
        <v/>
      </c>
      <c r="R426" s="5" t="str">
        <f>IF($A426="","",IFERROR(VLOOKUP($A426,Sheet1!A:AN,18,0),""))</f>
        <v/>
      </c>
      <c r="S426" s="5" t="str">
        <f>IF($A426="","",IFERROR(VLOOKUP($A426,Sheet1!$A:$AN,19,0),""))</f>
        <v/>
      </c>
      <c r="T426" s="5" t="str">
        <f t="shared" si="34"/>
        <v/>
      </c>
      <c r="U426" s="5" t="str">
        <f>IF($A426="","",IFERROR(VLOOKUP($A426,Sheet1!$A:$AN,21,0),""))</f>
        <v/>
      </c>
      <c r="V426" s="5" t="str">
        <f>IF($A426="","",IFERROR(SUBSTITUTE(VLOOKUP($A426,Sheet1!$A:$AN,22,0),"族",""),""))</f>
        <v/>
      </c>
      <c r="W426" s="5" t="str">
        <f>IF($A426="","",IFERROR(VLOOKUP($A426,Sheet1!$A:$AN,23,0),""))</f>
        <v/>
      </c>
      <c r="X426" s="5" t="str">
        <f>IF($A426="","",IFERROR(VLOOKUP($A426,Sheet1!$A:$AN,24,0),""))</f>
        <v/>
      </c>
      <c r="Y426" s="5" t="str">
        <f>IF($A426="","",IFERROR(VLOOKUP($A426,Sheet1!$A:$AN,25,0),""))</f>
        <v/>
      </c>
      <c r="AK426" s="5" t="str">
        <f>IF($A426="","",IFERROR(VLOOKUP($A426,Sheet1!$A:$AN,37,0),""))</f>
        <v/>
      </c>
      <c r="AL426" s="13" t="str">
        <f>IF($A426="","",IFERROR(VLOOKUP($A426,Sheet1!$A:$AN,38,0),""))</f>
        <v/>
      </c>
      <c r="AM426" s="13" t="str">
        <f>IF($A426="","",IFERROR(VLOOKUP($A426,Sheet1!$A:$AN,39,0),""))</f>
        <v/>
      </c>
      <c r="AN426" s="13" t="str">
        <f>IF($A426="","",IFERROR(VLOOKUP($A426,Sheet1!$A:$AN,40,0),""))</f>
        <v/>
      </c>
    </row>
    <row r="427" customHeight="1" spans="1:40">
      <c r="A427" s="5" t="str">
        <f>IF(Sheet1!$A427="","",Sheet1!$A427)</f>
        <v/>
      </c>
      <c r="B427" s="5" t="str">
        <f t="shared" si="30"/>
        <v/>
      </c>
      <c r="C427" s="5" t="str">
        <f>IF($A427="","",IFERROR(VLOOKUP($A427,Sheet1!$A:$AN,3,0),""))</f>
        <v/>
      </c>
      <c r="D427" s="5" t="str">
        <f t="shared" si="31"/>
        <v/>
      </c>
      <c r="I427" s="5" t="str">
        <f t="shared" si="32"/>
        <v/>
      </c>
      <c r="M427" s="5" t="str">
        <f t="shared" si="33"/>
        <v/>
      </c>
      <c r="R427" s="5" t="str">
        <f>IF($A427="","",IFERROR(VLOOKUP($A427,Sheet1!A:AN,18,0),""))</f>
        <v/>
      </c>
      <c r="S427" s="5" t="str">
        <f>IF($A427="","",IFERROR(VLOOKUP($A427,Sheet1!$A:$AN,19,0),""))</f>
        <v/>
      </c>
      <c r="T427" s="5" t="str">
        <f t="shared" si="34"/>
        <v/>
      </c>
      <c r="U427" s="5" t="str">
        <f>IF($A427="","",IFERROR(VLOOKUP($A427,Sheet1!$A:$AN,21,0),""))</f>
        <v/>
      </c>
      <c r="V427" s="5" t="str">
        <f>IF($A427="","",IFERROR(SUBSTITUTE(VLOOKUP($A427,Sheet1!$A:$AN,22,0),"族",""),""))</f>
        <v/>
      </c>
      <c r="W427" s="5" t="str">
        <f>IF($A427="","",IFERROR(VLOOKUP($A427,Sheet1!$A:$AN,23,0),""))</f>
        <v/>
      </c>
      <c r="X427" s="5" t="str">
        <f>IF($A427="","",IFERROR(VLOOKUP($A427,Sheet1!$A:$AN,24,0),""))</f>
        <v/>
      </c>
      <c r="Y427" s="5" t="str">
        <f>IF($A427="","",IFERROR(VLOOKUP($A427,Sheet1!$A:$AN,25,0),""))</f>
        <v/>
      </c>
      <c r="AK427" s="5" t="str">
        <f>IF($A427="","",IFERROR(VLOOKUP($A427,Sheet1!$A:$AN,37,0),""))</f>
        <v/>
      </c>
      <c r="AL427" s="13" t="str">
        <f>IF($A427="","",IFERROR(VLOOKUP($A427,Sheet1!$A:$AN,38,0),""))</f>
        <v/>
      </c>
      <c r="AM427" s="13" t="str">
        <f>IF($A427="","",IFERROR(VLOOKUP($A427,Sheet1!$A:$AN,39,0),""))</f>
        <v/>
      </c>
      <c r="AN427" s="13" t="str">
        <f>IF($A427="","",IFERROR(VLOOKUP($A427,Sheet1!$A:$AN,40,0),""))</f>
        <v/>
      </c>
    </row>
    <row r="428" customHeight="1" spans="1:40">
      <c r="A428" s="5" t="str">
        <f>IF(Sheet1!$A428="","",Sheet1!$A428)</f>
        <v/>
      </c>
      <c r="B428" s="5" t="str">
        <f t="shared" si="30"/>
        <v/>
      </c>
      <c r="C428" s="5" t="str">
        <f>IF($A428="","",IFERROR(VLOOKUP($A428,Sheet1!$A:$AN,3,0),""))</f>
        <v/>
      </c>
      <c r="D428" s="5" t="str">
        <f t="shared" si="31"/>
        <v/>
      </c>
      <c r="I428" s="5" t="str">
        <f t="shared" si="32"/>
        <v/>
      </c>
      <c r="M428" s="5" t="str">
        <f t="shared" si="33"/>
        <v/>
      </c>
      <c r="R428" s="5" t="str">
        <f>IF($A428="","",IFERROR(VLOOKUP($A428,Sheet1!A:AN,18,0),""))</f>
        <v/>
      </c>
      <c r="S428" s="5" t="str">
        <f>IF($A428="","",IFERROR(VLOOKUP($A428,Sheet1!$A:$AN,19,0),""))</f>
        <v/>
      </c>
      <c r="T428" s="5" t="str">
        <f t="shared" si="34"/>
        <v/>
      </c>
      <c r="U428" s="5" t="str">
        <f>IF($A428="","",IFERROR(VLOOKUP($A428,Sheet1!$A:$AN,21,0),""))</f>
        <v/>
      </c>
      <c r="V428" s="5" t="str">
        <f>IF($A428="","",IFERROR(SUBSTITUTE(VLOOKUP($A428,Sheet1!$A:$AN,22,0),"族",""),""))</f>
        <v/>
      </c>
      <c r="W428" s="5" t="str">
        <f>IF($A428="","",IFERROR(VLOOKUP($A428,Sheet1!$A:$AN,23,0),""))</f>
        <v/>
      </c>
      <c r="X428" s="5" t="str">
        <f>IF($A428="","",IFERROR(VLOOKUP($A428,Sheet1!$A:$AN,24,0),""))</f>
        <v/>
      </c>
      <c r="Y428" s="5" t="str">
        <f>IF($A428="","",IFERROR(VLOOKUP($A428,Sheet1!$A:$AN,25,0),""))</f>
        <v/>
      </c>
      <c r="AK428" s="5" t="str">
        <f>IF($A428="","",IFERROR(VLOOKUP($A428,Sheet1!$A:$AN,37,0),""))</f>
        <v/>
      </c>
      <c r="AL428" s="13" t="str">
        <f>IF($A428="","",IFERROR(VLOOKUP($A428,Sheet1!$A:$AN,38,0),""))</f>
        <v/>
      </c>
      <c r="AM428" s="13" t="str">
        <f>IF($A428="","",IFERROR(VLOOKUP($A428,Sheet1!$A:$AN,39,0),""))</f>
        <v/>
      </c>
      <c r="AN428" s="13" t="str">
        <f>IF($A428="","",IFERROR(VLOOKUP($A428,Sheet1!$A:$AN,40,0),""))</f>
        <v/>
      </c>
    </row>
    <row r="429" customHeight="1" spans="1:40">
      <c r="A429" s="5" t="str">
        <f>IF(Sheet1!$A429="","",Sheet1!$A429)</f>
        <v/>
      </c>
      <c r="B429" s="5" t="str">
        <f t="shared" si="30"/>
        <v/>
      </c>
      <c r="C429" s="5" t="str">
        <f>IF($A429="","",IFERROR(VLOOKUP($A429,Sheet1!$A:$AN,3,0),""))</f>
        <v/>
      </c>
      <c r="D429" s="5" t="str">
        <f t="shared" si="31"/>
        <v/>
      </c>
      <c r="I429" s="5" t="str">
        <f t="shared" si="32"/>
        <v/>
      </c>
      <c r="M429" s="5" t="str">
        <f t="shared" si="33"/>
        <v/>
      </c>
      <c r="R429" s="5" t="str">
        <f>IF($A429="","",IFERROR(VLOOKUP($A429,Sheet1!A:AN,18,0),""))</f>
        <v/>
      </c>
      <c r="S429" s="5" t="str">
        <f>IF($A429="","",IFERROR(VLOOKUP($A429,Sheet1!$A:$AN,19,0),""))</f>
        <v/>
      </c>
      <c r="T429" s="5" t="str">
        <f t="shared" si="34"/>
        <v/>
      </c>
      <c r="U429" s="5" t="str">
        <f>IF($A429="","",IFERROR(VLOOKUP($A429,Sheet1!$A:$AN,21,0),""))</f>
        <v/>
      </c>
      <c r="V429" s="5" t="str">
        <f>IF($A429="","",IFERROR(SUBSTITUTE(VLOOKUP($A429,Sheet1!$A:$AN,22,0),"族",""),""))</f>
        <v/>
      </c>
      <c r="W429" s="5" t="str">
        <f>IF($A429="","",IFERROR(VLOOKUP($A429,Sheet1!$A:$AN,23,0),""))</f>
        <v/>
      </c>
      <c r="X429" s="5" t="str">
        <f>IF($A429="","",IFERROR(VLOOKUP($A429,Sheet1!$A:$AN,24,0),""))</f>
        <v/>
      </c>
      <c r="Y429" s="5" t="str">
        <f>IF($A429="","",IFERROR(VLOOKUP($A429,Sheet1!$A:$AN,25,0),""))</f>
        <v/>
      </c>
      <c r="AK429" s="5" t="str">
        <f>IF($A429="","",IFERROR(VLOOKUP($A429,Sheet1!$A:$AN,37,0),""))</f>
        <v/>
      </c>
      <c r="AL429" s="13" t="str">
        <f>IF($A429="","",IFERROR(VLOOKUP($A429,Sheet1!$A:$AN,38,0),""))</f>
        <v/>
      </c>
      <c r="AM429" s="13" t="str">
        <f>IF($A429="","",IFERROR(VLOOKUP($A429,Sheet1!$A:$AN,39,0),""))</f>
        <v/>
      </c>
      <c r="AN429" s="13" t="str">
        <f>IF($A429="","",IFERROR(VLOOKUP($A429,Sheet1!$A:$AN,40,0),""))</f>
        <v/>
      </c>
    </row>
    <row r="430" customHeight="1" spans="1:40">
      <c r="A430" s="5" t="str">
        <f>IF(Sheet1!$A430="","",Sheet1!$A430)</f>
        <v/>
      </c>
      <c r="B430" s="5" t="str">
        <f t="shared" si="30"/>
        <v/>
      </c>
      <c r="C430" s="5" t="str">
        <f>IF($A430="","",IFERROR(VLOOKUP($A430,Sheet1!$A:$AN,3,0),""))</f>
        <v/>
      </c>
      <c r="D430" s="5" t="str">
        <f t="shared" si="31"/>
        <v/>
      </c>
      <c r="I430" s="5" t="str">
        <f t="shared" si="32"/>
        <v/>
      </c>
      <c r="M430" s="5" t="str">
        <f t="shared" si="33"/>
        <v/>
      </c>
      <c r="R430" s="5" t="str">
        <f>IF($A430="","",IFERROR(VLOOKUP($A430,Sheet1!A:AN,18,0),""))</f>
        <v/>
      </c>
      <c r="S430" s="5" t="str">
        <f>IF($A430="","",IFERROR(VLOOKUP($A430,Sheet1!$A:$AN,19,0),""))</f>
        <v/>
      </c>
      <c r="T430" s="5" t="str">
        <f t="shared" si="34"/>
        <v/>
      </c>
      <c r="U430" s="5" t="str">
        <f>IF($A430="","",IFERROR(VLOOKUP($A430,Sheet1!$A:$AN,21,0),""))</f>
        <v/>
      </c>
      <c r="V430" s="5" t="str">
        <f>IF($A430="","",IFERROR(SUBSTITUTE(VLOOKUP($A430,Sheet1!$A:$AN,22,0),"族",""),""))</f>
        <v/>
      </c>
      <c r="W430" s="5" t="str">
        <f>IF($A430="","",IFERROR(VLOOKUP($A430,Sheet1!$A:$AN,23,0),""))</f>
        <v/>
      </c>
      <c r="X430" s="5" t="str">
        <f>IF($A430="","",IFERROR(VLOOKUP($A430,Sheet1!$A:$AN,24,0),""))</f>
        <v/>
      </c>
      <c r="Y430" s="5" t="str">
        <f>IF($A430="","",IFERROR(VLOOKUP($A430,Sheet1!$A:$AN,25,0),""))</f>
        <v/>
      </c>
      <c r="AK430" s="5" t="str">
        <f>IF($A430="","",IFERROR(VLOOKUP($A430,Sheet1!$A:$AN,37,0),""))</f>
        <v/>
      </c>
      <c r="AL430" s="13" t="str">
        <f>IF($A430="","",IFERROR(VLOOKUP($A430,Sheet1!$A:$AN,38,0),""))</f>
        <v/>
      </c>
      <c r="AM430" s="13" t="str">
        <f>IF($A430="","",IFERROR(VLOOKUP($A430,Sheet1!$A:$AN,39,0),""))</f>
        <v/>
      </c>
      <c r="AN430" s="13" t="str">
        <f>IF($A430="","",IFERROR(VLOOKUP($A430,Sheet1!$A:$AN,40,0),""))</f>
        <v/>
      </c>
    </row>
    <row r="431" customHeight="1" spans="1:40">
      <c r="A431" s="5" t="str">
        <f>IF(Sheet1!$A431="","",Sheet1!$A431)</f>
        <v/>
      </c>
      <c r="B431" s="5" t="str">
        <f t="shared" si="30"/>
        <v/>
      </c>
      <c r="C431" s="5" t="str">
        <f>IF($A431="","",IFERROR(VLOOKUP($A431,Sheet1!$A:$AN,3,0),""))</f>
        <v/>
      </c>
      <c r="D431" s="5" t="str">
        <f t="shared" si="31"/>
        <v/>
      </c>
      <c r="I431" s="5" t="str">
        <f t="shared" si="32"/>
        <v/>
      </c>
      <c r="M431" s="5" t="str">
        <f t="shared" si="33"/>
        <v/>
      </c>
      <c r="R431" s="5" t="str">
        <f>IF($A431="","",IFERROR(VLOOKUP($A431,Sheet1!A:AN,18,0),""))</f>
        <v/>
      </c>
      <c r="S431" s="5" t="str">
        <f>IF($A431="","",IFERROR(VLOOKUP($A431,Sheet1!$A:$AN,19,0),""))</f>
        <v/>
      </c>
      <c r="T431" s="5" t="str">
        <f t="shared" si="34"/>
        <v/>
      </c>
      <c r="U431" s="5" t="str">
        <f>IF($A431="","",IFERROR(VLOOKUP($A431,Sheet1!$A:$AN,21,0),""))</f>
        <v/>
      </c>
      <c r="V431" s="5" t="str">
        <f>IF($A431="","",IFERROR(SUBSTITUTE(VLOOKUP($A431,Sheet1!$A:$AN,22,0),"族",""),""))</f>
        <v/>
      </c>
      <c r="W431" s="5" t="str">
        <f>IF($A431="","",IFERROR(VLOOKUP($A431,Sheet1!$A:$AN,23,0),""))</f>
        <v/>
      </c>
      <c r="X431" s="5" t="str">
        <f>IF($A431="","",IFERROR(VLOOKUP($A431,Sheet1!$A:$AN,24,0),""))</f>
        <v/>
      </c>
      <c r="Y431" s="5" t="str">
        <f>IF($A431="","",IFERROR(VLOOKUP($A431,Sheet1!$A:$AN,25,0),""))</f>
        <v/>
      </c>
      <c r="AK431" s="5" t="str">
        <f>IF($A431="","",IFERROR(VLOOKUP($A431,Sheet1!$A:$AN,37,0),""))</f>
        <v/>
      </c>
      <c r="AL431" s="13" t="str">
        <f>IF($A431="","",IFERROR(VLOOKUP($A431,Sheet1!$A:$AN,38,0),""))</f>
        <v/>
      </c>
      <c r="AM431" s="13" t="str">
        <f>IF($A431="","",IFERROR(VLOOKUP($A431,Sheet1!$A:$AN,39,0),""))</f>
        <v/>
      </c>
      <c r="AN431" s="13" t="str">
        <f>IF($A431="","",IFERROR(VLOOKUP($A431,Sheet1!$A:$AN,40,0),""))</f>
        <v/>
      </c>
    </row>
    <row r="432" customHeight="1" spans="1:40">
      <c r="A432" s="5" t="str">
        <f>IF(Sheet1!$A432="","",Sheet1!$A432)</f>
        <v/>
      </c>
      <c r="B432" s="5" t="str">
        <f t="shared" si="30"/>
        <v/>
      </c>
      <c r="C432" s="5" t="str">
        <f>IF($A432="","",IFERROR(VLOOKUP($A432,Sheet1!$A:$AN,3,0),""))</f>
        <v/>
      </c>
      <c r="D432" s="5" t="str">
        <f t="shared" si="31"/>
        <v/>
      </c>
      <c r="I432" s="5" t="str">
        <f t="shared" si="32"/>
        <v/>
      </c>
      <c r="M432" s="5" t="str">
        <f t="shared" si="33"/>
        <v/>
      </c>
      <c r="R432" s="5" t="str">
        <f>IF($A432="","",IFERROR(VLOOKUP($A432,Sheet1!A:AN,18,0),""))</f>
        <v/>
      </c>
      <c r="S432" s="5" t="str">
        <f>IF($A432="","",IFERROR(VLOOKUP($A432,Sheet1!$A:$AN,19,0),""))</f>
        <v/>
      </c>
      <c r="T432" s="5" t="str">
        <f t="shared" si="34"/>
        <v/>
      </c>
      <c r="U432" s="5" t="str">
        <f>IF($A432="","",IFERROR(VLOOKUP($A432,Sheet1!$A:$AN,21,0),""))</f>
        <v/>
      </c>
      <c r="V432" s="5" t="str">
        <f>IF($A432="","",IFERROR(SUBSTITUTE(VLOOKUP($A432,Sheet1!$A:$AN,22,0),"族",""),""))</f>
        <v/>
      </c>
      <c r="W432" s="5" t="str">
        <f>IF($A432="","",IFERROR(VLOOKUP($A432,Sheet1!$A:$AN,23,0),""))</f>
        <v/>
      </c>
      <c r="X432" s="5" t="str">
        <f>IF($A432="","",IFERROR(VLOOKUP($A432,Sheet1!$A:$AN,24,0),""))</f>
        <v/>
      </c>
      <c r="Y432" s="5" t="str">
        <f>IF($A432="","",IFERROR(VLOOKUP($A432,Sheet1!$A:$AN,25,0),""))</f>
        <v/>
      </c>
      <c r="AK432" s="5" t="str">
        <f>IF($A432="","",IFERROR(VLOOKUP($A432,Sheet1!$A:$AN,37,0),""))</f>
        <v/>
      </c>
      <c r="AL432" s="13" t="str">
        <f>IF($A432="","",IFERROR(VLOOKUP($A432,Sheet1!$A:$AN,38,0),""))</f>
        <v/>
      </c>
      <c r="AM432" s="13" t="str">
        <f>IF($A432="","",IFERROR(VLOOKUP($A432,Sheet1!$A:$AN,39,0),""))</f>
        <v/>
      </c>
      <c r="AN432" s="13" t="str">
        <f>IF($A432="","",IFERROR(VLOOKUP($A432,Sheet1!$A:$AN,40,0),""))</f>
        <v/>
      </c>
    </row>
    <row r="433" customHeight="1" spans="1:40">
      <c r="A433" s="5" t="str">
        <f>IF(Sheet1!$A433="","",Sheet1!$A433)</f>
        <v/>
      </c>
      <c r="B433" s="5" t="str">
        <f t="shared" si="30"/>
        <v/>
      </c>
      <c r="C433" s="5" t="str">
        <f>IF($A433="","",IFERROR(VLOOKUP($A433,Sheet1!$A:$AN,3,0),""))</f>
        <v/>
      </c>
      <c r="D433" s="5" t="str">
        <f t="shared" si="31"/>
        <v/>
      </c>
      <c r="I433" s="5" t="str">
        <f t="shared" si="32"/>
        <v/>
      </c>
      <c r="M433" s="5" t="str">
        <f t="shared" si="33"/>
        <v/>
      </c>
      <c r="R433" s="5" t="str">
        <f>IF($A433="","",IFERROR(VLOOKUP($A433,Sheet1!A:AN,18,0),""))</f>
        <v/>
      </c>
      <c r="S433" s="5" t="str">
        <f>IF($A433="","",IFERROR(VLOOKUP($A433,Sheet1!$A:$AN,19,0),""))</f>
        <v/>
      </c>
      <c r="T433" s="5" t="str">
        <f t="shared" si="34"/>
        <v/>
      </c>
      <c r="U433" s="5" t="str">
        <f>IF($A433="","",IFERROR(VLOOKUP($A433,Sheet1!$A:$AN,21,0),""))</f>
        <v/>
      </c>
      <c r="V433" s="5" t="str">
        <f>IF($A433="","",IFERROR(SUBSTITUTE(VLOOKUP($A433,Sheet1!$A:$AN,22,0),"族",""),""))</f>
        <v/>
      </c>
      <c r="W433" s="5" t="str">
        <f>IF($A433="","",IFERROR(VLOOKUP($A433,Sheet1!$A:$AN,23,0),""))</f>
        <v/>
      </c>
      <c r="X433" s="5" t="str">
        <f>IF($A433="","",IFERROR(VLOOKUP($A433,Sheet1!$A:$AN,24,0),""))</f>
        <v/>
      </c>
      <c r="Y433" s="5" t="str">
        <f>IF($A433="","",IFERROR(VLOOKUP($A433,Sheet1!$A:$AN,25,0),""))</f>
        <v/>
      </c>
      <c r="AK433" s="5" t="str">
        <f>IF($A433="","",IFERROR(VLOOKUP($A433,Sheet1!$A:$AN,37,0),""))</f>
        <v/>
      </c>
      <c r="AL433" s="13" t="str">
        <f>IF($A433="","",IFERROR(VLOOKUP($A433,Sheet1!$A:$AN,38,0),""))</f>
        <v/>
      </c>
      <c r="AM433" s="13" t="str">
        <f>IF($A433="","",IFERROR(VLOOKUP($A433,Sheet1!$A:$AN,39,0),""))</f>
        <v/>
      </c>
      <c r="AN433" s="13" t="str">
        <f>IF($A433="","",IFERROR(VLOOKUP($A433,Sheet1!$A:$AN,40,0),""))</f>
        <v/>
      </c>
    </row>
    <row r="434" customHeight="1" spans="1:40">
      <c r="A434" s="5" t="str">
        <f>IF(Sheet1!$A434="","",Sheet1!$A434)</f>
        <v/>
      </c>
      <c r="B434" s="5" t="str">
        <f t="shared" si="30"/>
        <v/>
      </c>
      <c r="C434" s="5" t="str">
        <f>IF($A434="","",IFERROR(VLOOKUP($A434,Sheet1!$A:$AN,3,0),""))</f>
        <v/>
      </c>
      <c r="D434" s="5" t="str">
        <f t="shared" si="31"/>
        <v/>
      </c>
      <c r="I434" s="5" t="str">
        <f t="shared" si="32"/>
        <v/>
      </c>
      <c r="M434" s="5" t="str">
        <f t="shared" si="33"/>
        <v/>
      </c>
      <c r="R434" s="5" t="str">
        <f>IF($A434="","",IFERROR(VLOOKUP($A434,Sheet1!A:AN,18,0),""))</f>
        <v/>
      </c>
      <c r="S434" s="5" t="str">
        <f>IF($A434="","",IFERROR(VLOOKUP($A434,Sheet1!$A:$AN,19,0),""))</f>
        <v/>
      </c>
      <c r="T434" s="5" t="str">
        <f t="shared" si="34"/>
        <v/>
      </c>
      <c r="U434" s="5" t="str">
        <f>IF($A434="","",IFERROR(VLOOKUP($A434,Sheet1!$A:$AN,21,0),""))</f>
        <v/>
      </c>
      <c r="V434" s="5" t="str">
        <f>IF($A434="","",IFERROR(SUBSTITUTE(VLOOKUP($A434,Sheet1!$A:$AN,22,0),"族",""),""))</f>
        <v/>
      </c>
      <c r="W434" s="5" t="str">
        <f>IF($A434="","",IFERROR(VLOOKUP($A434,Sheet1!$A:$AN,23,0),""))</f>
        <v/>
      </c>
      <c r="X434" s="5" t="str">
        <f>IF($A434="","",IFERROR(VLOOKUP($A434,Sheet1!$A:$AN,24,0),""))</f>
        <v/>
      </c>
      <c r="Y434" s="5" t="str">
        <f>IF($A434="","",IFERROR(VLOOKUP($A434,Sheet1!$A:$AN,25,0),""))</f>
        <v/>
      </c>
      <c r="AK434" s="5" t="str">
        <f>IF($A434="","",IFERROR(VLOOKUP($A434,Sheet1!$A:$AN,37,0),""))</f>
        <v/>
      </c>
      <c r="AL434" s="13" t="str">
        <f>IF($A434="","",IFERROR(VLOOKUP($A434,Sheet1!$A:$AN,38,0),""))</f>
        <v/>
      </c>
      <c r="AM434" s="13" t="str">
        <f>IF($A434="","",IFERROR(VLOOKUP($A434,Sheet1!$A:$AN,39,0),""))</f>
        <v/>
      </c>
      <c r="AN434" s="13" t="str">
        <f>IF($A434="","",IFERROR(VLOOKUP($A434,Sheet1!$A:$AN,40,0),""))</f>
        <v/>
      </c>
    </row>
    <row r="435" customHeight="1" spans="1:40">
      <c r="A435" s="5" t="str">
        <f>IF(Sheet1!$A435="","",Sheet1!$A435)</f>
        <v/>
      </c>
      <c r="B435" s="5" t="str">
        <f t="shared" si="30"/>
        <v/>
      </c>
      <c r="C435" s="5" t="str">
        <f>IF($A435="","",IFERROR(VLOOKUP($A435,Sheet1!$A:$AN,3,0),""))</f>
        <v/>
      </c>
      <c r="D435" s="5" t="str">
        <f t="shared" si="31"/>
        <v/>
      </c>
      <c r="I435" s="5" t="str">
        <f t="shared" si="32"/>
        <v/>
      </c>
      <c r="M435" s="5" t="str">
        <f t="shared" si="33"/>
        <v/>
      </c>
      <c r="R435" s="5" t="str">
        <f>IF($A435="","",IFERROR(VLOOKUP($A435,Sheet1!A:AN,18,0),""))</f>
        <v/>
      </c>
      <c r="S435" s="5" t="str">
        <f>IF($A435="","",IFERROR(VLOOKUP($A435,Sheet1!$A:$AN,19,0),""))</f>
        <v/>
      </c>
      <c r="T435" s="5" t="str">
        <f t="shared" si="34"/>
        <v/>
      </c>
      <c r="U435" s="5" t="str">
        <f>IF($A435="","",IFERROR(VLOOKUP($A435,Sheet1!$A:$AN,21,0),""))</f>
        <v/>
      </c>
      <c r="V435" s="5" t="str">
        <f>IF($A435="","",IFERROR(SUBSTITUTE(VLOOKUP($A435,Sheet1!$A:$AN,22,0),"族",""),""))</f>
        <v/>
      </c>
      <c r="W435" s="5" t="str">
        <f>IF($A435="","",IFERROR(VLOOKUP($A435,Sheet1!$A:$AN,23,0),""))</f>
        <v/>
      </c>
      <c r="X435" s="5" t="str">
        <f>IF($A435="","",IFERROR(VLOOKUP($A435,Sheet1!$A:$AN,24,0),""))</f>
        <v/>
      </c>
      <c r="Y435" s="5" t="str">
        <f>IF($A435="","",IFERROR(VLOOKUP($A435,Sheet1!$A:$AN,25,0),""))</f>
        <v/>
      </c>
      <c r="AK435" s="5" t="str">
        <f>IF($A435="","",IFERROR(VLOOKUP($A435,Sheet1!$A:$AN,37,0),""))</f>
        <v/>
      </c>
      <c r="AL435" s="13" t="str">
        <f>IF($A435="","",IFERROR(VLOOKUP($A435,Sheet1!$A:$AN,38,0),""))</f>
        <v/>
      </c>
      <c r="AM435" s="13" t="str">
        <f>IF($A435="","",IFERROR(VLOOKUP($A435,Sheet1!$A:$AN,39,0),""))</f>
        <v/>
      </c>
      <c r="AN435" s="13" t="str">
        <f>IF($A435="","",IFERROR(VLOOKUP($A435,Sheet1!$A:$AN,40,0),""))</f>
        <v/>
      </c>
    </row>
    <row r="436" customHeight="1" spans="1:40">
      <c r="A436" s="5" t="str">
        <f>IF(Sheet1!$A436="","",Sheet1!$A436)</f>
        <v/>
      </c>
      <c r="B436" s="5" t="str">
        <f t="shared" si="30"/>
        <v/>
      </c>
      <c r="C436" s="5" t="str">
        <f>IF($A436="","",IFERROR(VLOOKUP($A436,Sheet1!$A:$AN,3,0),""))</f>
        <v/>
      </c>
      <c r="D436" s="5" t="str">
        <f t="shared" si="31"/>
        <v/>
      </c>
      <c r="I436" s="5" t="str">
        <f t="shared" si="32"/>
        <v/>
      </c>
      <c r="M436" s="5" t="str">
        <f t="shared" si="33"/>
        <v/>
      </c>
      <c r="R436" s="5" t="str">
        <f>IF($A436="","",IFERROR(VLOOKUP($A436,Sheet1!A:AN,18,0),""))</f>
        <v/>
      </c>
      <c r="S436" s="5" t="str">
        <f>IF($A436="","",IFERROR(VLOOKUP($A436,Sheet1!$A:$AN,19,0),""))</f>
        <v/>
      </c>
      <c r="T436" s="5" t="str">
        <f t="shared" si="34"/>
        <v/>
      </c>
      <c r="U436" s="5" t="str">
        <f>IF($A436="","",IFERROR(VLOOKUP($A436,Sheet1!$A:$AN,21,0),""))</f>
        <v/>
      </c>
      <c r="V436" s="5" t="str">
        <f>IF($A436="","",IFERROR(SUBSTITUTE(VLOOKUP($A436,Sheet1!$A:$AN,22,0),"族",""),""))</f>
        <v/>
      </c>
      <c r="W436" s="5" t="str">
        <f>IF($A436="","",IFERROR(VLOOKUP($A436,Sheet1!$A:$AN,23,0),""))</f>
        <v/>
      </c>
      <c r="X436" s="5" t="str">
        <f>IF($A436="","",IFERROR(VLOOKUP($A436,Sheet1!$A:$AN,24,0),""))</f>
        <v/>
      </c>
      <c r="Y436" s="5" t="str">
        <f>IF($A436="","",IFERROR(VLOOKUP($A436,Sheet1!$A:$AN,25,0),""))</f>
        <v/>
      </c>
      <c r="AK436" s="5" t="str">
        <f>IF($A436="","",IFERROR(VLOOKUP($A436,Sheet1!$A:$AN,37,0),""))</f>
        <v/>
      </c>
      <c r="AL436" s="13" t="str">
        <f>IF($A436="","",IFERROR(VLOOKUP($A436,Sheet1!$A:$AN,38,0),""))</f>
        <v/>
      </c>
      <c r="AM436" s="13" t="str">
        <f>IF($A436="","",IFERROR(VLOOKUP($A436,Sheet1!$A:$AN,39,0),""))</f>
        <v/>
      </c>
      <c r="AN436" s="13" t="str">
        <f>IF($A436="","",IFERROR(VLOOKUP($A436,Sheet1!$A:$AN,40,0),""))</f>
        <v/>
      </c>
    </row>
    <row r="437" customHeight="1" spans="1:40">
      <c r="A437" s="5" t="str">
        <f>IF(Sheet1!$A437="","",Sheet1!$A437)</f>
        <v/>
      </c>
      <c r="B437" s="5" t="str">
        <f t="shared" si="30"/>
        <v/>
      </c>
      <c r="C437" s="5" t="str">
        <f>IF($A437="","",IFERROR(VLOOKUP($A437,Sheet1!$A:$AN,3,0),""))</f>
        <v/>
      </c>
      <c r="D437" s="5" t="str">
        <f t="shared" si="31"/>
        <v/>
      </c>
      <c r="I437" s="5" t="str">
        <f t="shared" si="32"/>
        <v/>
      </c>
      <c r="M437" s="5" t="str">
        <f t="shared" si="33"/>
        <v/>
      </c>
      <c r="R437" s="5" t="str">
        <f>IF($A437="","",IFERROR(VLOOKUP($A437,Sheet1!A:AN,18,0),""))</f>
        <v/>
      </c>
      <c r="S437" s="5" t="str">
        <f>IF($A437="","",IFERROR(VLOOKUP($A437,Sheet1!$A:$AN,19,0),""))</f>
        <v/>
      </c>
      <c r="T437" s="5" t="str">
        <f t="shared" si="34"/>
        <v/>
      </c>
      <c r="U437" s="5" t="str">
        <f>IF($A437="","",IFERROR(VLOOKUP($A437,Sheet1!$A:$AN,21,0),""))</f>
        <v/>
      </c>
      <c r="V437" s="5" t="str">
        <f>IF($A437="","",IFERROR(SUBSTITUTE(VLOOKUP($A437,Sheet1!$A:$AN,22,0),"族",""),""))</f>
        <v/>
      </c>
      <c r="W437" s="5" t="str">
        <f>IF($A437="","",IFERROR(VLOOKUP($A437,Sheet1!$A:$AN,23,0),""))</f>
        <v/>
      </c>
      <c r="X437" s="5" t="str">
        <f>IF($A437="","",IFERROR(VLOOKUP($A437,Sheet1!$A:$AN,24,0),""))</f>
        <v/>
      </c>
      <c r="Y437" s="5" t="str">
        <f>IF($A437="","",IFERROR(VLOOKUP($A437,Sheet1!$A:$AN,25,0),""))</f>
        <v/>
      </c>
      <c r="AK437" s="5" t="str">
        <f>IF($A437="","",IFERROR(VLOOKUP($A437,Sheet1!$A:$AN,37,0),""))</f>
        <v/>
      </c>
      <c r="AL437" s="13" t="str">
        <f>IF($A437="","",IFERROR(VLOOKUP($A437,Sheet1!$A:$AN,38,0),""))</f>
        <v/>
      </c>
      <c r="AM437" s="13" t="str">
        <f>IF($A437="","",IFERROR(VLOOKUP($A437,Sheet1!$A:$AN,39,0),""))</f>
        <v/>
      </c>
      <c r="AN437" s="13" t="str">
        <f>IF($A437="","",IFERROR(VLOOKUP($A437,Sheet1!$A:$AN,40,0),""))</f>
        <v/>
      </c>
    </row>
    <row r="438" customHeight="1" spans="1:40">
      <c r="A438" s="5" t="str">
        <f>IF(Sheet1!$A438="","",Sheet1!$A438)</f>
        <v/>
      </c>
      <c r="B438" s="5" t="str">
        <f t="shared" si="30"/>
        <v/>
      </c>
      <c r="C438" s="5" t="str">
        <f>IF($A438="","",IFERROR(VLOOKUP($A438,Sheet1!$A:$AN,3,0),""))</f>
        <v/>
      </c>
      <c r="D438" s="5" t="str">
        <f t="shared" si="31"/>
        <v/>
      </c>
      <c r="I438" s="5" t="str">
        <f t="shared" si="32"/>
        <v/>
      </c>
      <c r="M438" s="5" t="str">
        <f t="shared" si="33"/>
        <v/>
      </c>
      <c r="R438" s="5" t="str">
        <f>IF($A438="","",IFERROR(VLOOKUP($A438,Sheet1!A:AN,18,0),""))</f>
        <v/>
      </c>
      <c r="S438" s="5" t="str">
        <f>IF($A438="","",IFERROR(VLOOKUP($A438,Sheet1!$A:$AN,19,0),""))</f>
        <v/>
      </c>
      <c r="T438" s="5" t="str">
        <f t="shared" si="34"/>
        <v/>
      </c>
      <c r="U438" s="5" t="str">
        <f>IF($A438="","",IFERROR(VLOOKUP($A438,Sheet1!$A:$AN,21,0),""))</f>
        <v/>
      </c>
      <c r="V438" s="5" t="str">
        <f>IF($A438="","",IFERROR(SUBSTITUTE(VLOOKUP($A438,Sheet1!$A:$AN,22,0),"族",""),""))</f>
        <v/>
      </c>
      <c r="W438" s="5" t="str">
        <f>IF($A438="","",IFERROR(VLOOKUP($A438,Sheet1!$A:$AN,23,0),""))</f>
        <v/>
      </c>
      <c r="X438" s="5" t="str">
        <f>IF($A438="","",IFERROR(VLOOKUP($A438,Sheet1!$A:$AN,24,0),""))</f>
        <v/>
      </c>
      <c r="Y438" s="5" t="str">
        <f>IF($A438="","",IFERROR(VLOOKUP($A438,Sheet1!$A:$AN,25,0),""))</f>
        <v/>
      </c>
      <c r="AK438" s="5" t="str">
        <f>IF($A438="","",IFERROR(VLOOKUP($A438,Sheet1!$A:$AN,37,0),""))</f>
        <v/>
      </c>
      <c r="AL438" s="13" t="str">
        <f>IF($A438="","",IFERROR(VLOOKUP($A438,Sheet1!$A:$AN,38,0),""))</f>
        <v/>
      </c>
      <c r="AM438" s="13" t="str">
        <f>IF($A438="","",IFERROR(VLOOKUP($A438,Sheet1!$A:$AN,39,0),""))</f>
        <v/>
      </c>
      <c r="AN438" s="13" t="str">
        <f>IF($A438="","",IFERROR(VLOOKUP($A438,Sheet1!$A:$AN,40,0),""))</f>
        <v/>
      </c>
    </row>
    <row r="439" customHeight="1" spans="1:40">
      <c r="A439" s="5" t="str">
        <f>IF(Sheet1!$A439="","",Sheet1!$A439)</f>
        <v/>
      </c>
      <c r="B439" s="5" t="str">
        <f t="shared" si="30"/>
        <v/>
      </c>
      <c r="C439" s="5" t="str">
        <f>IF($A439="","",IFERROR(VLOOKUP($A439,Sheet1!$A:$AN,3,0),""))</f>
        <v/>
      </c>
      <c r="D439" s="5" t="str">
        <f t="shared" si="31"/>
        <v/>
      </c>
      <c r="I439" s="5" t="str">
        <f t="shared" si="32"/>
        <v/>
      </c>
      <c r="M439" s="5" t="str">
        <f t="shared" si="33"/>
        <v/>
      </c>
      <c r="R439" s="5" t="str">
        <f>IF($A439="","",IFERROR(VLOOKUP($A439,Sheet1!A:AN,18,0),""))</f>
        <v/>
      </c>
      <c r="S439" s="5" t="str">
        <f>IF($A439="","",IFERROR(VLOOKUP($A439,Sheet1!$A:$AN,19,0),""))</f>
        <v/>
      </c>
      <c r="T439" s="5" t="str">
        <f t="shared" si="34"/>
        <v/>
      </c>
      <c r="U439" s="5" t="str">
        <f>IF($A439="","",IFERROR(VLOOKUP($A439,Sheet1!$A:$AN,21,0),""))</f>
        <v/>
      </c>
      <c r="V439" s="5" t="str">
        <f>IF($A439="","",IFERROR(SUBSTITUTE(VLOOKUP($A439,Sheet1!$A:$AN,22,0),"族",""),""))</f>
        <v/>
      </c>
      <c r="W439" s="5" t="str">
        <f>IF($A439="","",IFERROR(VLOOKUP($A439,Sheet1!$A:$AN,23,0),""))</f>
        <v/>
      </c>
      <c r="X439" s="5" t="str">
        <f>IF($A439="","",IFERROR(VLOOKUP($A439,Sheet1!$A:$AN,24,0),""))</f>
        <v/>
      </c>
      <c r="Y439" s="5" t="str">
        <f>IF($A439="","",IFERROR(VLOOKUP($A439,Sheet1!$A:$AN,25,0),""))</f>
        <v/>
      </c>
      <c r="AK439" s="5" t="str">
        <f>IF($A439="","",IFERROR(VLOOKUP($A439,Sheet1!$A:$AN,37,0),""))</f>
        <v/>
      </c>
      <c r="AL439" s="13" t="str">
        <f>IF($A439="","",IFERROR(VLOOKUP($A439,Sheet1!$A:$AN,38,0),""))</f>
        <v/>
      </c>
      <c r="AM439" s="13" t="str">
        <f>IF($A439="","",IFERROR(VLOOKUP($A439,Sheet1!$A:$AN,39,0),""))</f>
        <v/>
      </c>
      <c r="AN439" s="13" t="str">
        <f>IF($A439="","",IFERROR(VLOOKUP($A439,Sheet1!$A:$AN,40,0),""))</f>
        <v/>
      </c>
    </row>
    <row r="440" customHeight="1" spans="1:40">
      <c r="A440" s="5" t="str">
        <f>IF(Sheet1!$A440="","",Sheet1!$A440)</f>
        <v/>
      </c>
      <c r="B440" s="5" t="str">
        <f t="shared" si="30"/>
        <v/>
      </c>
      <c r="C440" s="5" t="str">
        <f>IF($A440="","",IFERROR(VLOOKUP($A440,Sheet1!$A:$AN,3,0),""))</f>
        <v/>
      </c>
      <c r="D440" s="5" t="str">
        <f t="shared" si="31"/>
        <v/>
      </c>
      <c r="I440" s="5" t="str">
        <f t="shared" si="32"/>
        <v/>
      </c>
      <c r="M440" s="5" t="str">
        <f t="shared" si="33"/>
        <v/>
      </c>
      <c r="R440" s="5" t="str">
        <f>IF($A440="","",IFERROR(VLOOKUP($A440,Sheet1!A:AN,18,0),""))</f>
        <v/>
      </c>
      <c r="S440" s="5" t="str">
        <f>IF($A440="","",IFERROR(VLOOKUP($A440,Sheet1!$A:$AN,19,0),""))</f>
        <v/>
      </c>
      <c r="T440" s="5" t="str">
        <f t="shared" si="34"/>
        <v/>
      </c>
      <c r="U440" s="5" t="str">
        <f>IF($A440="","",IFERROR(VLOOKUP($A440,Sheet1!$A:$AN,21,0),""))</f>
        <v/>
      </c>
      <c r="V440" s="5" t="str">
        <f>IF($A440="","",IFERROR(SUBSTITUTE(VLOOKUP($A440,Sheet1!$A:$AN,22,0),"族",""),""))</f>
        <v/>
      </c>
      <c r="W440" s="5" t="str">
        <f>IF($A440="","",IFERROR(VLOOKUP($A440,Sheet1!$A:$AN,23,0),""))</f>
        <v/>
      </c>
      <c r="X440" s="5" t="str">
        <f>IF($A440="","",IFERROR(VLOOKUP($A440,Sheet1!$A:$AN,24,0),""))</f>
        <v/>
      </c>
      <c r="Y440" s="5" t="str">
        <f>IF($A440="","",IFERROR(VLOOKUP($A440,Sheet1!$A:$AN,25,0),""))</f>
        <v/>
      </c>
      <c r="AK440" s="5" t="str">
        <f>IF($A440="","",IFERROR(VLOOKUP($A440,Sheet1!$A:$AN,37,0),""))</f>
        <v/>
      </c>
      <c r="AL440" s="13" t="str">
        <f>IF($A440="","",IFERROR(VLOOKUP($A440,Sheet1!$A:$AN,38,0),""))</f>
        <v/>
      </c>
      <c r="AM440" s="13" t="str">
        <f>IF($A440="","",IFERROR(VLOOKUP($A440,Sheet1!$A:$AN,39,0),""))</f>
        <v/>
      </c>
      <c r="AN440" s="13" t="str">
        <f>IF($A440="","",IFERROR(VLOOKUP($A440,Sheet1!$A:$AN,40,0),""))</f>
        <v/>
      </c>
    </row>
    <row r="441" customHeight="1" spans="1:40">
      <c r="A441" s="5" t="str">
        <f>IF(Sheet1!$A441="","",Sheet1!$A441)</f>
        <v/>
      </c>
      <c r="B441" s="5" t="str">
        <f t="shared" si="30"/>
        <v/>
      </c>
      <c r="C441" s="5" t="str">
        <f>IF($A441="","",IFERROR(VLOOKUP($A441,Sheet1!$A:$AN,3,0),""))</f>
        <v/>
      </c>
      <c r="D441" s="5" t="str">
        <f t="shared" si="31"/>
        <v/>
      </c>
      <c r="I441" s="5" t="str">
        <f t="shared" si="32"/>
        <v/>
      </c>
      <c r="M441" s="5" t="str">
        <f t="shared" si="33"/>
        <v/>
      </c>
      <c r="R441" s="5" t="str">
        <f>IF($A441="","",IFERROR(VLOOKUP($A441,Sheet1!A:AN,18,0),""))</f>
        <v/>
      </c>
      <c r="S441" s="5" t="str">
        <f>IF($A441="","",IFERROR(VLOOKUP($A441,Sheet1!$A:$AN,19,0),""))</f>
        <v/>
      </c>
      <c r="T441" s="5" t="str">
        <f t="shared" si="34"/>
        <v/>
      </c>
      <c r="U441" s="5" t="str">
        <f>IF($A441="","",IFERROR(VLOOKUP($A441,Sheet1!$A:$AN,21,0),""))</f>
        <v/>
      </c>
      <c r="V441" s="5" t="str">
        <f>IF($A441="","",IFERROR(SUBSTITUTE(VLOOKUP($A441,Sheet1!$A:$AN,22,0),"族",""),""))</f>
        <v/>
      </c>
      <c r="W441" s="5" t="str">
        <f>IF($A441="","",IFERROR(VLOOKUP($A441,Sheet1!$A:$AN,23,0),""))</f>
        <v/>
      </c>
      <c r="X441" s="5" t="str">
        <f>IF($A441="","",IFERROR(VLOOKUP($A441,Sheet1!$A:$AN,24,0),""))</f>
        <v/>
      </c>
      <c r="Y441" s="5" t="str">
        <f>IF($A441="","",IFERROR(VLOOKUP($A441,Sheet1!$A:$AN,25,0),""))</f>
        <v/>
      </c>
      <c r="AK441" s="5" t="str">
        <f>IF($A441="","",IFERROR(VLOOKUP($A441,Sheet1!$A:$AN,37,0),""))</f>
        <v/>
      </c>
      <c r="AL441" s="13" t="str">
        <f>IF($A441="","",IFERROR(VLOOKUP($A441,Sheet1!$A:$AN,38,0),""))</f>
        <v/>
      </c>
      <c r="AM441" s="13" t="str">
        <f>IF($A441="","",IFERROR(VLOOKUP($A441,Sheet1!$A:$AN,39,0),""))</f>
        <v/>
      </c>
      <c r="AN441" s="13" t="str">
        <f>IF($A441="","",IFERROR(VLOOKUP($A441,Sheet1!$A:$AN,40,0),""))</f>
        <v/>
      </c>
    </row>
    <row r="442" customHeight="1" spans="1:40">
      <c r="A442" s="5" t="str">
        <f>IF(Sheet1!$A442="","",Sheet1!$A442)</f>
        <v/>
      </c>
      <c r="B442" s="5" t="str">
        <f t="shared" si="30"/>
        <v/>
      </c>
      <c r="C442" s="5" t="str">
        <f>IF($A442="","",IFERROR(VLOOKUP($A442,Sheet1!$A:$AN,3,0),""))</f>
        <v/>
      </c>
      <c r="D442" s="5" t="str">
        <f t="shared" si="31"/>
        <v/>
      </c>
      <c r="I442" s="5" t="str">
        <f t="shared" si="32"/>
        <v/>
      </c>
      <c r="M442" s="5" t="str">
        <f t="shared" si="33"/>
        <v/>
      </c>
      <c r="R442" s="5" t="str">
        <f>IF($A442="","",IFERROR(VLOOKUP($A442,Sheet1!A:AN,18,0),""))</f>
        <v/>
      </c>
      <c r="S442" s="5" t="str">
        <f>IF($A442="","",IFERROR(VLOOKUP($A442,Sheet1!$A:$AN,19,0),""))</f>
        <v/>
      </c>
      <c r="T442" s="5" t="str">
        <f t="shared" si="34"/>
        <v/>
      </c>
      <c r="U442" s="5" t="str">
        <f>IF($A442="","",IFERROR(VLOOKUP($A442,Sheet1!$A:$AN,21,0),""))</f>
        <v/>
      </c>
      <c r="V442" s="5" t="str">
        <f>IF($A442="","",IFERROR(SUBSTITUTE(VLOOKUP($A442,Sheet1!$A:$AN,22,0),"族",""),""))</f>
        <v/>
      </c>
      <c r="W442" s="5" t="str">
        <f>IF($A442="","",IFERROR(VLOOKUP($A442,Sheet1!$A:$AN,23,0),""))</f>
        <v/>
      </c>
      <c r="X442" s="5" t="str">
        <f>IF($A442="","",IFERROR(VLOOKUP($A442,Sheet1!$A:$AN,24,0),""))</f>
        <v/>
      </c>
      <c r="Y442" s="5" t="str">
        <f>IF($A442="","",IFERROR(VLOOKUP($A442,Sheet1!$A:$AN,25,0),""))</f>
        <v/>
      </c>
      <c r="AK442" s="5" t="str">
        <f>IF($A442="","",IFERROR(VLOOKUP($A442,Sheet1!$A:$AN,37,0),""))</f>
        <v/>
      </c>
      <c r="AL442" s="13" t="str">
        <f>IF($A442="","",IFERROR(VLOOKUP($A442,Sheet1!$A:$AN,38,0),""))</f>
        <v/>
      </c>
      <c r="AM442" s="13" t="str">
        <f>IF($A442="","",IFERROR(VLOOKUP($A442,Sheet1!$A:$AN,39,0),""))</f>
        <v/>
      </c>
      <c r="AN442" s="13" t="str">
        <f>IF($A442="","",IFERROR(VLOOKUP($A442,Sheet1!$A:$AN,40,0),""))</f>
        <v/>
      </c>
    </row>
    <row r="443" customHeight="1" spans="1:40">
      <c r="A443" s="5" t="str">
        <f>IF(Sheet1!$A443="","",Sheet1!$A443)</f>
        <v/>
      </c>
      <c r="B443" s="5" t="str">
        <f t="shared" si="30"/>
        <v/>
      </c>
      <c r="C443" s="5" t="str">
        <f>IF($A443="","",IFERROR(VLOOKUP($A443,Sheet1!$A:$AN,3,0),""))</f>
        <v/>
      </c>
      <c r="D443" s="5" t="str">
        <f t="shared" si="31"/>
        <v/>
      </c>
      <c r="I443" s="5" t="str">
        <f t="shared" si="32"/>
        <v/>
      </c>
      <c r="M443" s="5" t="str">
        <f t="shared" si="33"/>
        <v/>
      </c>
      <c r="R443" s="5" t="str">
        <f>IF($A443="","",IFERROR(VLOOKUP($A443,Sheet1!A:AN,18,0),""))</f>
        <v/>
      </c>
      <c r="S443" s="5" t="str">
        <f>IF($A443="","",IFERROR(VLOOKUP($A443,Sheet1!$A:$AN,19,0),""))</f>
        <v/>
      </c>
      <c r="T443" s="5" t="str">
        <f t="shared" si="34"/>
        <v/>
      </c>
      <c r="U443" s="5" t="str">
        <f>IF($A443="","",IFERROR(VLOOKUP($A443,Sheet1!$A:$AN,21,0),""))</f>
        <v/>
      </c>
      <c r="V443" s="5" t="str">
        <f>IF($A443="","",IFERROR(SUBSTITUTE(VLOOKUP($A443,Sheet1!$A:$AN,22,0),"族",""),""))</f>
        <v/>
      </c>
      <c r="W443" s="5" t="str">
        <f>IF($A443="","",IFERROR(VLOOKUP($A443,Sheet1!$A:$AN,23,0),""))</f>
        <v/>
      </c>
      <c r="X443" s="5" t="str">
        <f>IF($A443="","",IFERROR(VLOOKUP($A443,Sheet1!$A:$AN,24,0),""))</f>
        <v/>
      </c>
      <c r="Y443" s="5" t="str">
        <f>IF($A443="","",IFERROR(VLOOKUP($A443,Sheet1!$A:$AN,25,0),""))</f>
        <v/>
      </c>
      <c r="AK443" s="5" t="str">
        <f>IF($A443="","",IFERROR(VLOOKUP($A443,Sheet1!$A:$AN,37,0),""))</f>
        <v/>
      </c>
      <c r="AL443" s="13" t="str">
        <f>IF($A443="","",IFERROR(VLOOKUP($A443,Sheet1!$A:$AN,38,0),""))</f>
        <v/>
      </c>
      <c r="AM443" s="13" t="str">
        <f>IF($A443="","",IFERROR(VLOOKUP($A443,Sheet1!$A:$AN,39,0),""))</f>
        <v/>
      </c>
      <c r="AN443" s="13" t="str">
        <f>IF($A443="","",IFERROR(VLOOKUP($A443,Sheet1!$A:$AN,40,0),""))</f>
        <v/>
      </c>
    </row>
    <row r="444" customHeight="1" spans="1:40">
      <c r="A444" s="5" t="str">
        <f>IF(Sheet1!$A444="","",Sheet1!$A444)</f>
        <v/>
      </c>
      <c r="B444" s="5" t="str">
        <f t="shared" si="30"/>
        <v/>
      </c>
      <c r="C444" s="5" t="str">
        <f>IF($A444="","",IFERROR(VLOOKUP($A444,Sheet1!$A:$AN,3,0),""))</f>
        <v/>
      </c>
      <c r="D444" s="5" t="str">
        <f t="shared" si="31"/>
        <v/>
      </c>
      <c r="I444" s="5" t="str">
        <f t="shared" si="32"/>
        <v/>
      </c>
      <c r="M444" s="5" t="str">
        <f t="shared" si="33"/>
        <v/>
      </c>
      <c r="R444" s="5" t="str">
        <f>IF($A444="","",IFERROR(VLOOKUP($A444,Sheet1!A:AN,18,0),""))</f>
        <v/>
      </c>
      <c r="S444" s="5" t="str">
        <f>IF($A444="","",IFERROR(VLOOKUP($A444,Sheet1!$A:$AN,19,0),""))</f>
        <v/>
      </c>
      <c r="T444" s="5" t="str">
        <f t="shared" si="34"/>
        <v/>
      </c>
      <c r="U444" s="5" t="str">
        <f>IF($A444="","",IFERROR(VLOOKUP($A444,Sheet1!$A:$AN,21,0),""))</f>
        <v/>
      </c>
      <c r="V444" s="5" t="str">
        <f>IF($A444="","",IFERROR(SUBSTITUTE(VLOOKUP($A444,Sheet1!$A:$AN,22,0),"族",""),""))</f>
        <v/>
      </c>
      <c r="W444" s="5" t="str">
        <f>IF($A444="","",IFERROR(VLOOKUP($A444,Sheet1!$A:$AN,23,0),""))</f>
        <v/>
      </c>
      <c r="X444" s="5" t="str">
        <f>IF($A444="","",IFERROR(VLOOKUP($A444,Sheet1!$A:$AN,24,0),""))</f>
        <v/>
      </c>
      <c r="Y444" s="5" t="str">
        <f>IF($A444="","",IFERROR(VLOOKUP($A444,Sheet1!$A:$AN,25,0),""))</f>
        <v/>
      </c>
      <c r="AK444" s="5" t="str">
        <f>IF($A444="","",IFERROR(VLOOKUP($A444,Sheet1!$A:$AN,37,0),""))</f>
        <v/>
      </c>
      <c r="AL444" s="13" t="str">
        <f>IF($A444="","",IFERROR(VLOOKUP($A444,Sheet1!$A:$AN,38,0),""))</f>
        <v/>
      </c>
      <c r="AM444" s="13" t="str">
        <f>IF($A444="","",IFERROR(VLOOKUP($A444,Sheet1!$A:$AN,39,0),""))</f>
        <v/>
      </c>
      <c r="AN444" s="13" t="str">
        <f>IF($A444="","",IFERROR(VLOOKUP($A444,Sheet1!$A:$AN,40,0),""))</f>
        <v/>
      </c>
    </row>
    <row r="445" customHeight="1" spans="1:40">
      <c r="A445" s="5" t="str">
        <f>IF(Sheet1!$A445="","",Sheet1!$A445)</f>
        <v/>
      </c>
      <c r="B445" s="5" t="str">
        <f t="shared" si="30"/>
        <v/>
      </c>
      <c r="C445" s="5" t="str">
        <f>IF($A445="","",IFERROR(VLOOKUP($A445,Sheet1!$A:$AN,3,0),""))</f>
        <v/>
      </c>
      <c r="D445" s="5" t="str">
        <f t="shared" si="31"/>
        <v/>
      </c>
      <c r="I445" s="5" t="str">
        <f t="shared" si="32"/>
        <v/>
      </c>
      <c r="M445" s="5" t="str">
        <f t="shared" si="33"/>
        <v/>
      </c>
      <c r="R445" s="5" t="str">
        <f>IF($A445="","",IFERROR(VLOOKUP($A445,Sheet1!A:AN,18,0),""))</f>
        <v/>
      </c>
      <c r="S445" s="5" t="str">
        <f>IF($A445="","",IFERROR(VLOOKUP($A445,Sheet1!$A:$AN,19,0),""))</f>
        <v/>
      </c>
      <c r="T445" s="5" t="str">
        <f t="shared" si="34"/>
        <v/>
      </c>
      <c r="U445" s="5" t="str">
        <f>IF($A445="","",IFERROR(VLOOKUP($A445,Sheet1!$A:$AN,21,0),""))</f>
        <v/>
      </c>
      <c r="V445" s="5" t="str">
        <f>IF($A445="","",IFERROR(SUBSTITUTE(VLOOKUP($A445,Sheet1!$A:$AN,22,0),"族",""),""))</f>
        <v/>
      </c>
      <c r="W445" s="5" t="str">
        <f>IF($A445="","",IFERROR(VLOOKUP($A445,Sheet1!$A:$AN,23,0),""))</f>
        <v/>
      </c>
      <c r="X445" s="5" t="str">
        <f>IF($A445="","",IFERROR(VLOOKUP($A445,Sheet1!$A:$AN,24,0),""))</f>
        <v/>
      </c>
      <c r="Y445" s="5" t="str">
        <f>IF($A445="","",IFERROR(VLOOKUP($A445,Sheet1!$A:$AN,25,0),""))</f>
        <v/>
      </c>
      <c r="AK445" s="5" t="str">
        <f>IF($A445="","",IFERROR(VLOOKUP($A445,Sheet1!$A:$AN,37,0),""))</f>
        <v/>
      </c>
      <c r="AL445" s="13" t="str">
        <f>IF($A445="","",IFERROR(VLOOKUP($A445,Sheet1!$A:$AN,38,0),""))</f>
        <v/>
      </c>
      <c r="AM445" s="13" t="str">
        <f>IF($A445="","",IFERROR(VLOOKUP($A445,Sheet1!$A:$AN,39,0),""))</f>
        <v/>
      </c>
      <c r="AN445" s="13" t="str">
        <f>IF($A445="","",IFERROR(VLOOKUP($A445,Sheet1!$A:$AN,40,0),""))</f>
        <v/>
      </c>
    </row>
    <row r="446" customHeight="1" spans="1:40">
      <c r="A446" s="5" t="str">
        <f>IF(Sheet1!$A446="","",Sheet1!$A446)</f>
        <v/>
      </c>
      <c r="B446" s="5" t="str">
        <f t="shared" si="30"/>
        <v/>
      </c>
      <c r="C446" s="5" t="str">
        <f>IF($A446="","",IFERROR(VLOOKUP($A446,Sheet1!$A:$AN,3,0),""))</f>
        <v/>
      </c>
      <c r="D446" s="5" t="str">
        <f t="shared" si="31"/>
        <v/>
      </c>
      <c r="I446" s="5" t="str">
        <f t="shared" si="32"/>
        <v/>
      </c>
      <c r="M446" s="5" t="str">
        <f t="shared" si="33"/>
        <v/>
      </c>
      <c r="R446" s="5" t="str">
        <f>IF($A446="","",IFERROR(VLOOKUP($A446,Sheet1!A:AN,18,0),""))</f>
        <v/>
      </c>
      <c r="S446" s="5" t="str">
        <f>IF($A446="","",IFERROR(VLOOKUP($A446,Sheet1!$A:$AN,19,0),""))</f>
        <v/>
      </c>
      <c r="T446" s="5" t="str">
        <f t="shared" si="34"/>
        <v/>
      </c>
      <c r="U446" s="5" t="str">
        <f>IF($A446="","",IFERROR(VLOOKUP($A446,Sheet1!$A:$AN,21,0),""))</f>
        <v/>
      </c>
      <c r="V446" s="5" t="str">
        <f>IF($A446="","",IFERROR(SUBSTITUTE(VLOOKUP($A446,Sheet1!$A:$AN,22,0),"族",""),""))</f>
        <v/>
      </c>
      <c r="W446" s="5" t="str">
        <f>IF($A446="","",IFERROR(VLOOKUP($A446,Sheet1!$A:$AN,23,0),""))</f>
        <v/>
      </c>
      <c r="X446" s="5" t="str">
        <f>IF($A446="","",IFERROR(VLOOKUP($A446,Sheet1!$A:$AN,24,0),""))</f>
        <v/>
      </c>
      <c r="Y446" s="5" t="str">
        <f>IF($A446="","",IFERROR(VLOOKUP($A446,Sheet1!$A:$AN,25,0),""))</f>
        <v/>
      </c>
      <c r="AK446" s="5" t="str">
        <f>IF($A446="","",IFERROR(VLOOKUP($A446,Sheet1!$A:$AN,37,0),""))</f>
        <v/>
      </c>
      <c r="AL446" s="13" t="str">
        <f>IF($A446="","",IFERROR(VLOOKUP($A446,Sheet1!$A:$AN,38,0),""))</f>
        <v/>
      </c>
      <c r="AM446" s="13" t="str">
        <f>IF($A446="","",IFERROR(VLOOKUP($A446,Sheet1!$A:$AN,39,0),""))</f>
        <v/>
      </c>
      <c r="AN446" s="13" t="str">
        <f>IF($A446="","",IFERROR(VLOOKUP($A446,Sheet1!$A:$AN,40,0),""))</f>
        <v/>
      </c>
    </row>
    <row r="447" customHeight="1" spans="1:40">
      <c r="A447" s="5" t="str">
        <f>IF(Sheet1!$A447="","",Sheet1!$A447)</f>
        <v/>
      </c>
      <c r="B447" s="5" t="str">
        <f t="shared" si="30"/>
        <v/>
      </c>
      <c r="C447" s="5" t="str">
        <f>IF($A447="","",IFERROR(VLOOKUP($A447,Sheet1!$A:$AN,3,0),""))</f>
        <v/>
      </c>
      <c r="D447" s="5" t="str">
        <f t="shared" si="31"/>
        <v/>
      </c>
      <c r="I447" s="5" t="str">
        <f t="shared" si="32"/>
        <v/>
      </c>
      <c r="M447" s="5" t="str">
        <f t="shared" si="33"/>
        <v/>
      </c>
      <c r="R447" s="5" t="str">
        <f>IF($A447="","",IFERROR(VLOOKUP($A447,Sheet1!A:AN,18,0),""))</f>
        <v/>
      </c>
      <c r="S447" s="5" t="str">
        <f>IF($A447="","",IFERROR(VLOOKUP($A447,Sheet1!$A:$AN,19,0),""))</f>
        <v/>
      </c>
      <c r="T447" s="5" t="str">
        <f t="shared" si="34"/>
        <v/>
      </c>
      <c r="U447" s="5" t="str">
        <f>IF($A447="","",IFERROR(VLOOKUP($A447,Sheet1!$A:$AN,21,0),""))</f>
        <v/>
      </c>
      <c r="V447" s="5" t="str">
        <f>IF($A447="","",IFERROR(SUBSTITUTE(VLOOKUP($A447,Sheet1!$A:$AN,22,0),"族",""),""))</f>
        <v/>
      </c>
      <c r="W447" s="5" t="str">
        <f>IF($A447="","",IFERROR(VLOOKUP($A447,Sheet1!$A:$AN,23,0),""))</f>
        <v/>
      </c>
      <c r="X447" s="5" t="str">
        <f>IF($A447="","",IFERROR(VLOOKUP($A447,Sheet1!$A:$AN,24,0),""))</f>
        <v/>
      </c>
      <c r="Y447" s="5" t="str">
        <f>IF($A447="","",IFERROR(VLOOKUP($A447,Sheet1!$A:$AN,25,0),""))</f>
        <v/>
      </c>
      <c r="AK447" s="5" t="str">
        <f>IF($A447="","",IFERROR(VLOOKUP($A447,Sheet1!$A:$AN,37,0),""))</f>
        <v/>
      </c>
      <c r="AL447" s="13" t="str">
        <f>IF($A447="","",IFERROR(VLOOKUP($A447,Sheet1!$A:$AN,38,0),""))</f>
        <v/>
      </c>
      <c r="AM447" s="13" t="str">
        <f>IF($A447="","",IFERROR(VLOOKUP($A447,Sheet1!$A:$AN,39,0),""))</f>
        <v/>
      </c>
      <c r="AN447" s="13" t="str">
        <f>IF($A447="","",IFERROR(VLOOKUP($A447,Sheet1!$A:$AN,40,0),""))</f>
        <v/>
      </c>
    </row>
    <row r="448" customHeight="1" spans="1:40">
      <c r="A448" s="5" t="str">
        <f>IF(Sheet1!$A448="","",Sheet1!$A448)</f>
        <v/>
      </c>
      <c r="B448" s="5" t="str">
        <f t="shared" si="30"/>
        <v/>
      </c>
      <c r="C448" s="5" t="str">
        <f>IF($A448="","",IFERROR(VLOOKUP($A448,Sheet1!$A:$AN,3,0),""))</f>
        <v/>
      </c>
      <c r="D448" s="5" t="str">
        <f t="shared" si="31"/>
        <v/>
      </c>
      <c r="I448" s="5" t="str">
        <f t="shared" si="32"/>
        <v/>
      </c>
      <c r="M448" s="5" t="str">
        <f t="shared" si="33"/>
        <v/>
      </c>
      <c r="R448" s="5" t="str">
        <f>IF($A448="","",IFERROR(VLOOKUP($A448,Sheet1!A:AN,18,0),""))</f>
        <v/>
      </c>
      <c r="S448" s="5" t="str">
        <f>IF($A448="","",IFERROR(VLOOKUP($A448,Sheet1!$A:$AN,19,0),""))</f>
        <v/>
      </c>
      <c r="T448" s="5" t="str">
        <f t="shared" si="34"/>
        <v/>
      </c>
      <c r="U448" s="5" t="str">
        <f>IF($A448="","",IFERROR(VLOOKUP($A448,Sheet1!$A:$AN,21,0),""))</f>
        <v/>
      </c>
      <c r="V448" s="5" t="str">
        <f>IF($A448="","",IFERROR(SUBSTITUTE(VLOOKUP($A448,Sheet1!$A:$AN,22,0),"族",""),""))</f>
        <v/>
      </c>
      <c r="W448" s="5" t="str">
        <f>IF($A448="","",IFERROR(VLOOKUP($A448,Sheet1!$A:$AN,23,0),""))</f>
        <v/>
      </c>
      <c r="X448" s="5" t="str">
        <f>IF($A448="","",IFERROR(VLOOKUP($A448,Sheet1!$A:$AN,24,0),""))</f>
        <v/>
      </c>
      <c r="Y448" s="5" t="str">
        <f>IF($A448="","",IFERROR(VLOOKUP($A448,Sheet1!$A:$AN,25,0),""))</f>
        <v/>
      </c>
      <c r="AK448" s="5" t="str">
        <f>IF($A448="","",IFERROR(VLOOKUP($A448,Sheet1!$A:$AN,37,0),""))</f>
        <v/>
      </c>
      <c r="AL448" s="13" t="str">
        <f>IF($A448="","",IFERROR(VLOOKUP($A448,Sheet1!$A:$AN,38,0),""))</f>
        <v/>
      </c>
      <c r="AM448" s="13" t="str">
        <f>IF($A448="","",IFERROR(VLOOKUP($A448,Sheet1!$A:$AN,39,0),""))</f>
        <v/>
      </c>
      <c r="AN448" s="13" t="str">
        <f>IF($A448="","",IFERROR(VLOOKUP($A448,Sheet1!$A:$AN,40,0),""))</f>
        <v/>
      </c>
    </row>
    <row r="449" customHeight="1" spans="1:40">
      <c r="A449" s="5" t="str">
        <f>IF(Sheet1!$A449="","",Sheet1!$A449)</f>
        <v/>
      </c>
      <c r="B449" s="5" t="str">
        <f t="shared" si="30"/>
        <v/>
      </c>
      <c r="C449" s="5" t="str">
        <f>IF($A449="","",IFERROR(VLOOKUP($A449,Sheet1!$A:$AN,3,0),""))</f>
        <v/>
      </c>
      <c r="D449" s="5" t="str">
        <f t="shared" si="31"/>
        <v/>
      </c>
      <c r="I449" s="5" t="str">
        <f t="shared" si="32"/>
        <v/>
      </c>
      <c r="M449" s="5" t="str">
        <f t="shared" si="33"/>
        <v/>
      </c>
      <c r="R449" s="5" t="str">
        <f>IF($A449="","",IFERROR(VLOOKUP($A449,Sheet1!A:AN,18,0),""))</f>
        <v/>
      </c>
      <c r="S449" s="5" t="str">
        <f>IF($A449="","",IFERROR(VLOOKUP($A449,Sheet1!$A:$AN,19,0),""))</f>
        <v/>
      </c>
      <c r="T449" s="5" t="str">
        <f t="shared" si="34"/>
        <v/>
      </c>
      <c r="U449" s="5" t="str">
        <f>IF($A449="","",IFERROR(VLOOKUP($A449,Sheet1!$A:$AN,21,0),""))</f>
        <v/>
      </c>
      <c r="V449" s="5" t="str">
        <f>IF($A449="","",IFERROR(SUBSTITUTE(VLOOKUP($A449,Sheet1!$A:$AN,22,0),"族",""),""))</f>
        <v/>
      </c>
      <c r="W449" s="5" t="str">
        <f>IF($A449="","",IFERROR(VLOOKUP($A449,Sheet1!$A:$AN,23,0),""))</f>
        <v/>
      </c>
      <c r="X449" s="5" t="str">
        <f>IF($A449="","",IFERROR(VLOOKUP($A449,Sheet1!$A:$AN,24,0),""))</f>
        <v/>
      </c>
      <c r="Y449" s="5" t="str">
        <f>IF($A449="","",IFERROR(VLOOKUP($A449,Sheet1!$A:$AN,25,0),""))</f>
        <v/>
      </c>
      <c r="AK449" s="5" t="str">
        <f>IF($A449="","",IFERROR(VLOOKUP($A449,Sheet1!$A:$AN,37,0),""))</f>
        <v/>
      </c>
      <c r="AL449" s="13" t="str">
        <f>IF($A449="","",IFERROR(VLOOKUP($A449,Sheet1!$A:$AN,38,0),""))</f>
        <v/>
      </c>
      <c r="AM449" s="13" t="str">
        <f>IF($A449="","",IFERROR(VLOOKUP($A449,Sheet1!$A:$AN,39,0),""))</f>
        <v/>
      </c>
      <c r="AN449" s="13" t="str">
        <f>IF($A449="","",IFERROR(VLOOKUP($A449,Sheet1!$A:$AN,40,0),""))</f>
        <v/>
      </c>
    </row>
    <row r="450" customHeight="1" spans="1:40">
      <c r="A450" s="5" t="str">
        <f>IF(Sheet1!$A450="","",Sheet1!$A450)</f>
        <v/>
      </c>
      <c r="B450" s="5" t="str">
        <f t="shared" si="30"/>
        <v/>
      </c>
      <c r="C450" s="5" t="str">
        <f>IF($A450="","",IFERROR(VLOOKUP($A450,Sheet1!$A:$AN,3,0),""))</f>
        <v/>
      </c>
      <c r="D450" s="5" t="str">
        <f t="shared" si="31"/>
        <v/>
      </c>
      <c r="I450" s="5" t="str">
        <f t="shared" si="32"/>
        <v/>
      </c>
      <c r="M450" s="5" t="str">
        <f t="shared" si="33"/>
        <v/>
      </c>
      <c r="R450" s="5" t="str">
        <f>IF($A450="","",IFERROR(VLOOKUP($A450,Sheet1!A:AN,18,0),""))</f>
        <v/>
      </c>
      <c r="S450" s="5" t="str">
        <f>IF($A450="","",IFERROR(VLOOKUP($A450,Sheet1!$A:$AN,19,0),""))</f>
        <v/>
      </c>
      <c r="T450" s="5" t="str">
        <f t="shared" si="34"/>
        <v/>
      </c>
      <c r="U450" s="5" t="str">
        <f>IF($A450="","",IFERROR(VLOOKUP($A450,Sheet1!$A:$AN,21,0),""))</f>
        <v/>
      </c>
      <c r="V450" s="5" t="str">
        <f>IF($A450="","",IFERROR(SUBSTITUTE(VLOOKUP($A450,Sheet1!$A:$AN,22,0),"族",""),""))</f>
        <v/>
      </c>
      <c r="W450" s="5" t="str">
        <f>IF($A450="","",IFERROR(VLOOKUP($A450,Sheet1!$A:$AN,23,0),""))</f>
        <v/>
      </c>
      <c r="X450" s="5" t="str">
        <f>IF($A450="","",IFERROR(VLOOKUP($A450,Sheet1!$A:$AN,24,0),""))</f>
        <v/>
      </c>
      <c r="Y450" s="5" t="str">
        <f>IF($A450="","",IFERROR(VLOOKUP($A450,Sheet1!$A:$AN,25,0),""))</f>
        <v/>
      </c>
      <c r="AK450" s="5" t="str">
        <f>IF($A450="","",IFERROR(VLOOKUP($A450,Sheet1!$A:$AN,37,0),""))</f>
        <v/>
      </c>
      <c r="AL450" s="13" t="str">
        <f>IF($A450="","",IFERROR(VLOOKUP($A450,Sheet1!$A:$AN,38,0),""))</f>
        <v/>
      </c>
      <c r="AM450" s="13" t="str">
        <f>IF($A450="","",IFERROR(VLOOKUP($A450,Sheet1!$A:$AN,39,0),""))</f>
        <v/>
      </c>
      <c r="AN450" s="13" t="str">
        <f>IF($A450="","",IFERROR(VLOOKUP($A450,Sheet1!$A:$AN,40,0),""))</f>
        <v/>
      </c>
    </row>
    <row r="451" customHeight="1" spans="1:40">
      <c r="A451" s="5" t="str">
        <f>IF(Sheet1!$A451="","",Sheet1!$A451)</f>
        <v/>
      </c>
      <c r="B451" s="5" t="str">
        <f t="shared" ref="B451:B500" si="35">IF($A451="","","企业")</f>
        <v/>
      </c>
      <c r="C451" s="5" t="str">
        <f>IF($A451="","",IFERROR(VLOOKUP($A451,Sheet1!$A:$AN,3,0),""))</f>
        <v/>
      </c>
      <c r="D451" s="5" t="str">
        <f t="shared" ref="D451:D500" si="36">IF($C451="","","营业执照")</f>
        <v/>
      </c>
      <c r="I451" s="5" t="str">
        <f t="shared" ref="I451:I500" si="37">IF($C451="","","身份证")</f>
        <v/>
      </c>
      <c r="M451" s="5" t="str">
        <f t="shared" ref="M451:M500" si="38">IF($C451="","","自然人")</f>
        <v/>
      </c>
      <c r="R451" s="5" t="str">
        <f>IF($A451="","",IFERROR(VLOOKUP($A451,Sheet1!A:AN,18,0),""))</f>
        <v/>
      </c>
      <c r="S451" s="5" t="str">
        <f>IF($A451="","",IFERROR(VLOOKUP($A451,Sheet1!$A:$AN,19,0),""))</f>
        <v/>
      </c>
      <c r="T451" s="5" t="str">
        <f t="shared" ref="T451:T500" si="39">IF($S451="","","身份证")</f>
        <v/>
      </c>
      <c r="U451" s="5" t="str">
        <f>IF($A451="","",IFERROR(VLOOKUP($A451,Sheet1!$A:$AN,21,0),""))</f>
        <v/>
      </c>
      <c r="V451" s="5" t="str">
        <f>IF($A451="","",IFERROR(SUBSTITUTE(VLOOKUP($A451,Sheet1!$A:$AN,22,0),"族",""),""))</f>
        <v/>
      </c>
      <c r="W451" s="5" t="str">
        <f>IF($A451="","",IFERROR(VLOOKUP($A451,Sheet1!$A:$AN,23,0),""))</f>
        <v/>
      </c>
      <c r="X451" s="5" t="str">
        <f>IF($A451="","",IFERROR(VLOOKUP($A451,Sheet1!$A:$AN,24,0),""))</f>
        <v/>
      </c>
      <c r="Y451" s="5" t="str">
        <f>IF($A451="","",IFERROR(VLOOKUP($A451,Sheet1!$A:$AN,25,0),""))</f>
        <v/>
      </c>
      <c r="AK451" s="5" t="str">
        <f>IF($A451="","",IFERROR(VLOOKUP($A451,Sheet1!$A:$AN,37,0),""))</f>
        <v/>
      </c>
      <c r="AL451" s="13" t="str">
        <f>IF($A451="","",IFERROR(VLOOKUP($A451,Sheet1!$A:$AN,38,0),""))</f>
        <v/>
      </c>
      <c r="AM451" s="13" t="str">
        <f>IF($A451="","",IFERROR(VLOOKUP($A451,Sheet1!$A:$AN,39,0),""))</f>
        <v/>
      </c>
      <c r="AN451" s="13" t="str">
        <f>IF($A451="","",IFERROR(VLOOKUP($A451,Sheet1!$A:$AN,40,0),""))</f>
        <v/>
      </c>
    </row>
    <row r="452" customHeight="1" spans="1:40">
      <c r="A452" s="5" t="str">
        <f>IF(Sheet1!$A452="","",Sheet1!$A452)</f>
        <v/>
      </c>
      <c r="B452" s="5" t="str">
        <f t="shared" si="35"/>
        <v/>
      </c>
      <c r="C452" s="5" t="str">
        <f>IF($A452="","",IFERROR(VLOOKUP($A452,Sheet1!$A:$AN,3,0),""))</f>
        <v/>
      </c>
      <c r="D452" s="5" t="str">
        <f t="shared" si="36"/>
        <v/>
      </c>
      <c r="I452" s="5" t="str">
        <f t="shared" si="37"/>
        <v/>
      </c>
      <c r="M452" s="5" t="str">
        <f t="shared" si="38"/>
        <v/>
      </c>
      <c r="R452" s="5" t="str">
        <f>IF($A452="","",IFERROR(VLOOKUP($A452,Sheet1!A:AN,18,0),""))</f>
        <v/>
      </c>
      <c r="S452" s="5" t="str">
        <f>IF($A452="","",IFERROR(VLOOKUP($A452,Sheet1!$A:$AN,19,0),""))</f>
        <v/>
      </c>
      <c r="T452" s="5" t="str">
        <f t="shared" si="39"/>
        <v/>
      </c>
      <c r="U452" s="5" t="str">
        <f>IF($A452="","",IFERROR(VLOOKUP($A452,Sheet1!$A:$AN,21,0),""))</f>
        <v/>
      </c>
      <c r="V452" s="5" t="str">
        <f>IF($A452="","",IFERROR(SUBSTITUTE(VLOOKUP($A452,Sheet1!$A:$AN,22,0),"族",""),""))</f>
        <v/>
      </c>
      <c r="W452" s="5" t="str">
        <f>IF($A452="","",IFERROR(VLOOKUP($A452,Sheet1!$A:$AN,23,0),""))</f>
        <v/>
      </c>
      <c r="X452" s="5" t="str">
        <f>IF($A452="","",IFERROR(VLOOKUP($A452,Sheet1!$A:$AN,24,0),""))</f>
        <v/>
      </c>
      <c r="Y452" s="5" t="str">
        <f>IF($A452="","",IFERROR(VLOOKUP($A452,Sheet1!$A:$AN,25,0),""))</f>
        <v/>
      </c>
      <c r="AK452" s="5" t="str">
        <f>IF($A452="","",IFERROR(VLOOKUP($A452,Sheet1!$A:$AN,37,0),""))</f>
        <v/>
      </c>
      <c r="AL452" s="13" t="str">
        <f>IF($A452="","",IFERROR(VLOOKUP($A452,Sheet1!$A:$AN,38,0),""))</f>
        <v/>
      </c>
      <c r="AM452" s="13" t="str">
        <f>IF($A452="","",IFERROR(VLOOKUP($A452,Sheet1!$A:$AN,39,0),""))</f>
        <v/>
      </c>
      <c r="AN452" s="13" t="str">
        <f>IF($A452="","",IFERROR(VLOOKUP($A452,Sheet1!$A:$AN,40,0),""))</f>
        <v/>
      </c>
    </row>
    <row r="453" customHeight="1" spans="1:40">
      <c r="A453" s="5" t="str">
        <f>IF(Sheet1!$A453="","",Sheet1!$A453)</f>
        <v/>
      </c>
      <c r="B453" s="5" t="str">
        <f t="shared" si="35"/>
        <v/>
      </c>
      <c r="C453" s="5" t="str">
        <f>IF($A453="","",IFERROR(VLOOKUP($A453,Sheet1!$A:$AN,3,0),""))</f>
        <v/>
      </c>
      <c r="D453" s="5" t="str">
        <f t="shared" si="36"/>
        <v/>
      </c>
      <c r="I453" s="5" t="str">
        <f t="shared" si="37"/>
        <v/>
      </c>
      <c r="M453" s="5" t="str">
        <f t="shared" si="38"/>
        <v/>
      </c>
      <c r="R453" s="5" t="str">
        <f>IF($A453="","",IFERROR(VLOOKUP($A453,Sheet1!A:AN,18,0),""))</f>
        <v/>
      </c>
      <c r="S453" s="5" t="str">
        <f>IF($A453="","",IFERROR(VLOOKUP($A453,Sheet1!$A:$AN,19,0),""))</f>
        <v/>
      </c>
      <c r="T453" s="5" t="str">
        <f t="shared" si="39"/>
        <v/>
      </c>
      <c r="U453" s="5" t="str">
        <f>IF($A453="","",IFERROR(VLOOKUP($A453,Sheet1!$A:$AN,21,0),""))</f>
        <v/>
      </c>
      <c r="V453" s="5" t="str">
        <f>IF($A453="","",IFERROR(SUBSTITUTE(VLOOKUP($A453,Sheet1!$A:$AN,22,0),"族",""),""))</f>
        <v/>
      </c>
      <c r="W453" s="5" t="str">
        <f>IF($A453="","",IFERROR(VLOOKUP($A453,Sheet1!$A:$AN,23,0),""))</f>
        <v/>
      </c>
      <c r="X453" s="5" t="str">
        <f>IF($A453="","",IFERROR(VLOOKUP($A453,Sheet1!$A:$AN,24,0),""))</f>
        <v/>
      </c>
      <c r="Y453" s="5" t="str">
        <f>IF($A453="","",IFERROR(VLOOKUP($A453,Sheet1!$A:$AN,25,0),""))</f>
        <v/>
      </c>
      <c r="AK453" s="5" t="str">
        <f>IF($A453="","",IFERROR(VLOOKUP($A453,Sheet1!$A:$AN,37,0),""))</f>
        <v/>
      </c>
      <c r="AL453" s="13" t="str">
        <f>IF($A453="","",IFERROR(VLOOKUP($A453,Sheet1!$A:$AN,38,0),""))</f>
        <v/>
      </c>
      <c r="AM453" s="13" t="str">
        <f>IF($A453="","",IFERROR(VLOOKUP($A453,Sheet1!$A:$AN,39,0),""))</f>
        <v/>
      </c>
      <c r="AN453" s="13" t="str">
        <f>IF($A453="","",IFERROR(VLOOKUP($A453,Sheet1!$A:$AN,40,0),""))</f>
        <v/>
      </c>
    </row>
    <row r="454" customHeight="1" spans="1:40">
      <c r="A454" s="5" t="str">
        <f>IF(Sheet1!$A454="","",Sheet1!$A454)</f>
        <v/>
      </c>
      <c r="B454" s="5" t="str">
        <f t="shared" si="35"/>
        <v/>
      </c>
      <c r="C454" s="5" t="str">
        <f>IF($A454="","",IFERROR(VLOOKUP($A454,Sheet1!$A:$AN,3,0),""))</f>
        <v/>
      </c>
      <c r="D454" s="5" t="str">
        <f t="shared" si="36"/>
        <v/>
      </c>
      <c r="I454" s="5" t="str">
        <f t="shared" si="37"/>
        <v/>
      </c>
      <c r="M454" s="5" t="str">
        <f t="shared" si="38"/>
        <v/>
      </c>
      <c r="R454" s="5" t="str">
        <f>IF($A454="","",IFERROR(VLOOKUP($A454,Sheet1!A:AN,18,0),""))</f>
        <v/>
      </c>
      <c r="S454" s="5" t="str">
        <f>IF($A454="","",IFERROR(VLOOKUP($A454,Sheet1!$A:$AN,19,0),""))</f>
        <v/>
      </c>
      <c r="T454" s="5" t="str">
        <f t="shared" si="39"/>
        <v/>
      </c>
      <c r="U454" s="5" t="str">
        <f>IF($A454="","",IFERROR(VLOOKUP($A454,Sheet1!$A:$AN,21,0),""))</f>
        <v/>
      </c>
      <c r="V454" s="5" t="str">
        <f>IF($A454="","",IFERROR(SUBSTITUTE(VLOOKUP($A454,Sheet1!$A:$AN,22,0),"族",""),""))</f>
        <v/>
      </c>
      <c r="W454" s="5" t="str">
        <f>IF($A454="","",IFERROR(VLOOKUP($A454,Sheet1!$A:$AN,23,0),""))</f>
        <v/>
      </c>
      <c r="X454" s="5" t="str">
        <f>IF($A454="","",IFERROR(VLOOKUP($A454,Sheet1!$A:$AN,24,0),""))</f>
        <v/>
      </c>
      <c r="Y454" s="5" t="str">
        <f>IF($A454="","",IFERROR(VLOOKUP($A454,Sheet1!$A:$AN,25,0),""))</f>
        <v/>
      </c>
      <c r="AK454" s="5" t="str">
        <f>IF($A454="","",IFERROR(VLOOKUP($A454,Sheet1!$A:$AN,37,0),""))</f>
        <v/>
      </c>
      <c r="AL454" s="13" t="str">
        <f>IF($A454="","",IFERROR(VLOOKUP($A454,Sheet1!$A:$AN,38,0),""))</f>
        <v/>
      </c>
      <c r="AM454" s="13" t="str">
        <f>IF($A454="","",IFERROR(VLOOKUP($A454,Sheet1!$A:$AN,39,0),""))</f>
        <v/>
      </c>
      <c r="AN454" s="13" t="str">
        <f>IF($A454="","",IFERROR(VLOOKUP($A454,Sheet1!$A:$AN,40,0),""))</f>
        <v/>
      </c>
    </row>
    <row r="455" customHeight="1" spans="1:40">
      <c r="A455" s="5" t="str">
        <f>IF(Sheet1!$A455="","",Sheet1!$A455)</f>
        <v/>
      </c>
      <c r="B455" s="5" t="str">
        <f t="shared" si="35"/>
        <v/>
      </c>
      <c r="C455" s="5" t="str">
        <f>IF($A455="","",IFERROR(VLOOKUP($A455,Sheet1!$A:$AN,3,0),""))</f>
        <v/>
      </c>
      <c r="D455" s="5" t="str">
        <f t="shared" si="36"/>
        <v/>
      </c>
      <c r="I455" s="5" t="str">
        <f t="shared" si="37"/>
        <v/>
      </c>
      <c r="M455" s="5" t="str">
        <f t="shared" si="38"/>
        <v/>
      </c>
      <c r="R455" s="5" t="str">
        <f>IF($A455="","",IFERROR(VLOOKUP($A455,Sheet1!A:AN,18,0),""))</f>
        <v/>
      </c>
      <c r="S455" s="5" t="str">
        <f>IF($A455="","",IFERROR(VLOOKUP($A455,Sheet1!$A:$AN,19,0),""))</f>
        <v/>
      </c>
      <c r="T455" s="5" t="str">
        <f t="shared" si="39"/>
        <v/>
      </c>
      <c r="U455" s="5" t="str">
        <f>IF($A455="","",IFERROR(VLOOKUP($A455,Sheet1!$A:$AN,21,0),""))</f>
        <v/>
      </c>
      <c r="V455" s="5" t="str">
        <f>IF($A455="","",IFERROR(SUBSTITUTE(VLOOKUP($A455,Sheet1!$A:$AN,22,0),"族",""),""))</f>
        <v/>
      </c>
      <c r="W455" s="5" t="str">
        <f>IF($A455="","",IFERROR(VLOOKUP($A455,Sheet1!$A:$AN,23,0),""))</f>
        <v/>
      </c>
      <c r="X455" s="5" t="str">
        <f>IF($A455="","",IFERROR(VLOOKUP($A455,Sheet1!$A:$AN,24,0),""))</f>
        <v/>
      </c>
      <c r="Y455" s="5" t="str">
        <f>IF($A455="","",IFERROR(VLOOKUP($A455,Sheet1!$A:$AN,25,0),""))</f>
        <v/>
      </c>
      <c r="AK455" s="5" t="str">
        <f>IF($A455="","",IFERROR(VLOOKUP($A455,Sheet1!$A:$AN,37,0),""))</f>
        <v/>
      </c>
      <c r="AL455" s="13" t="str">
        <f>IF($A455="","",IFERROR(VLOOKUP($A455,Sheet1!$A:$AN,38,0),""))</f>
        <v/>
      </c>
      <c r="AM455" s="13" t="str">
        <f>IF($A455="","",IFERROR(VLOOKUP($A455,Sheet1!$A:$AN,39,0),""))</f>
        <v/>
      </c>
      <c r="AN455" s="13" t="str">
        <f>IF($A455="","",IFERROR(VLOOKUP($A455,Sheet1!$A:$AN,40,0),""))</f>
        <v/>
      </c>
    </row>
    <row r="456" customHeight="1" spans="1:40">
      <c r="A456" s="5" t="str">
        <f>IF(Sheet1!$A456="","",Sheet1!$A456)</f>
        <v/>
      </c>
      <c r="B456" s="5" t="str">
        <f t="shared" si="35"/>
        <v/>
      </c>
      <c r="C456" s="5" t="str">
        <f>IF($A456="","",IFERROR(VLOOKUP($A456,Sheet1!$A:$AN,3,0),""))</f>
        <v/>
      </c>
      <c r="D456" s="5" t="str">
        <f t="shared" si="36"/>
        <v/>
      </c>
      <c r="I456" s="5" t="str">
        <f t="shared" si="37"/>
        <v/>
      </c>
      <c r="M456" s="5" t="str">
        <f t="shared" si="38"/>
        <v/>
      </c>
      <c r="R456" s="5" t="str">
        <f>IF($A456="","",IFERROR(VLOOKUP($A456,Sheet1!A:AN,18,0),""))</f>
        <v/>
      </c>
      <c r="S456" s="5" t="str">
        <f>IF($A456="","",IFERROR(VLOOKUP($A456,Sheet1!$A:$AN,19,0),""))</f>
        <v/>
      </c>
      <c r="T456" s="5" t="str">
        <f t="shared" si="39"/>
        <v/>
      </c>
      <c r="U456" s="5" t="str">
        <f>IF($A456="","",IFERROR(VLOOKUP($A456,Sheet1!$A:$AN,21,0),""))</f>
        <v/>
      </c>
      <c r="V456" s="5" t="str">
        <f>IF($A456="","",IFERROR(SUBSTITUTE(VLOOKUP($A456,Sheet1!$A:$AN,22,0),"族",""),""))</f>
        <v/>
      </c>
      <c r="W456" s="5" t="str">
        <f>IF($A456="","",IFERROR(VLOOKUP($A456,Sheet1!$A:$AN,23,0),""))</f>
        <v/>
      </c>
      <c r="X456" s="5" t="str">
        <f>IF($A456="","",IFERROR(VLOOKUP($A456,Sheet1!$A:$AN,24,0),""))</f>
        <v/>
      </c>
      <c r="Y456" s="5" t="str">
        <f>IF($A456="","",IFERROR(VLOOKUP($A456,Sheet1!$A:$AN,25,0),""))</f>
        <v/>
      </c>
      <c r="AK456" s="5" t="str">
        <f>IF($A456="","",IFERROR(VLOOKUP($A456,Sheet1!$A:$AN,37,0),""))</f>
        <v/>
      </c>
      <c r="AL456" s="13" t="str">
        <f>IF($A456="","",IFERROR(VLOOKUP($A456,Sheet1!$A:$AN,38,0),""))</f>
        <v/>
      </c>
      <c r="AM456" s="13" t="str">
        <f>IF($A456="","",IFERROR(VLOOKUP($A456,Sheet1!$A:$AN,39,0),""))</f>
        <v/>
      </c>
      <c r="AN456" s="13" t="str">
        <f>IF($A456="","",IFERROR(VLOOKUP($A456,Sheet1!$A:$AN,40,0),""))</f>
        <v/>
      </c>
    </row>
    <row r="457" customHeight="1" spans="1:40">
      <c r="A457" s="5" t="str">
        <f>IF(Sheet1!$A457="","",Sheet1!$A457)</f>
        <v/>
      </c>
      <c r="B457" s="5" t="str">
        <f t="shared" si="35"/>
        <v/>
      </c>
      <c r="C457" s="5" t="str">
        <f>IF($A457="","",IFERROR(VLOOKUP($A457,Sheet1!$A:$AN,3,0),""))</f>
        <v/>
      </c>
      <c r="D457" s="5" t="str">
        <f t="shared" si="36"/>
        <v/>
      </c>
      <c r="I457" s="5" t="str">
        <f t="shared" si="37"/>
        <v/>
      </c>
      <c r="M457" s="5" t="str">
        <f t="shared" si="38"/>
        <v/>
      </c>
      <c r="R457" s="5" t="str">
        <f>IF($A457="","",IFERROR(VLOOKUP($A457,Sheet1!A:AN,18,0),""))</f>
        <v/>
      </c>
      <c r="S457" s="5" t="str">
        <f>IF($A457="","",IFERROR(VLOOKUP($A457,Sheet1!$A:$AN,19,0),""))</f>
        <v/>
      </c>
      <c r="T457" s="5" t="str">
        <f t="shared" si="39"/>
        <v/>
      </c>
      <c r="U457" s="5" t="str">
        <f>IF($A457="","",IFERROR(VLOOKUP($A457,Sheet1!$A:$AN,21,0),""))</f>
        <v/>
      </c>
      <c r="V457" s="5" t="str">
        <f>IF($A457="","",IFERROR(SUBSTITUTE(VLOOKUP($A457,Sheet1!$A:$AN,22,0),"族",""),""))</f>
        <v/>
      </c>
      <c r="W457" s="5" t="str">
        <f>IF($A457="","",IFERROR(VLOOKUP($A457,Sheet1!$A:$AN,23,0),""))</f>
        <v/>
      </c>
      <c r="X457" s="5" t="str">
        <f>IF($A457="","",IFERROR(VLOOKUP($A457,Sheet1!$A:$AN,24,0),""))</f>
        <v/>
      </c>
      <c r="Y457" s="5" t="str">
        <f>IF($A457="","",IFERROR(VLOOKUP($A457,Sheet1!$A:$AN,25,0),""))</f>
        <v/>
      </c>
      <c r="AK457" s="5" t="str">
        <f>IF($A457="","",IFERROR(VLOOKUP($A457,Sheet1!$A:$AN,37,0),""))</f>
        <v/>
      </c>
      <c r="AL457" s="13" t="str">
        <f>IF($A457="","",IFERROR(VLOOKUP($A457,Sheet1!$A:$AN,38,0),""))</f>
        <v/>
      </c>
      <c r="AM457" s="13" t="str">
        <f>IF($A457="","",IFERROR(VLOOKUP($A457,Sheet1!$A:$AN,39,0),""))</f>
        <v/>
      </c>
      <c r="AN457" s="13" t="str">
        <f>IF($A457="","",IFERROR(VLOOKUP($A457,Sheet1!$A:$AN,40,0),""))</f>
        <v/>
      </c>
    </row>
    <row r="458" customHeight="1" spans="1:40">
      <c r="A458" s="5" t="str">
        <f>IF(Sheet1!$A458="","",Sheet1!$A458)</f>
        <v/>
      </c>
      <c r="B458" s="5" t="str">
        <f t="shared" si="35"/>
        <v/>
      </c>
      <c r="C458" s="5" t="str">
        <f>IF($A458="","",IFERROR(VLOOKUP($A458,Sheet1!$A:$AN,3,0),""))</f>
        <v/>
      </c>
      <c r="D458" s="5" t="str">
        <f t="shared" si="36"/>
        <v/>
      </c>
      <c r="I458" s="5" t="str">
        <f t="shared" si="37"/>
        <v/>
      </c>
      <c r="M458" s="5" t="str">
        <f t="shared" si="38"/>
        <v/>
      </c>
      <c r="R458" s="5" t="str">
        <f>IF($A458="","",IFERROR(VLOOKUP($A458,Sheet1!A:AN,18,0),""))</f>
        <v/>
      </c>
      <c r="S458" s="5" t="str">
        <f>IF($A458="","",IFERROR(VLOOKUP($A458,Sheet1!$A:$AN,19,0),""))</f>
        <v/>
      </c>
      <c r="T458" s="5" t="str">
        <f t="shared" si="39"/>
        <v/>
      </c>
      <c r="U458" s="5" t="str">
        <f>IF($A458="","",IFERROR(VLOOKUP($A458,Sheet1!$A:$AN,21,0),""))</f>
        <v/>
      </c>
      <c r="V458" s="5" t="str">
        <f>IF($A458="","",IFERROR(SUBSTITUTE(VLOOKUP($A458,Sheet1!$A:$AN,22,0),"族",""),""))</f>
        <v/>
      </c>
      <c r="W458" s="5" t="str">
        <f>IF($A458="","",IFERROR(VLOOKUP($A458,Sheet1!$A:$AN,23,0),""))</f>
        <v/>
      </c>
      <c r="X458" s="5" t="str">
        <f>IF($A458="","",IFERROR(VLOOKUP($A458,Sheet1!$A:$AN,24,0),""))</f>
        <v/>
      </c>
      <c r="Y458" s="5" t="str">
        <f>IF($A458="","",IFERROR(VLOOKUP($A458,Sheet1!$A:$AN,25,0),""))</f>
        <v/>
      </c>
      <c r="AK458" s="5" t="str">
        <f>IF($A458="","",IFERROR(VLOOKUP($A458,Sheet1!$A:$AN,37,0),""))</f>
        <v/>
      </c>
      <c r="AL458" s="13" t="str">
        <f>IF($A458="","",IFERROR(VLOOKUP($A458,Sheet1!$A:$AN,38,0),""))</f>
        <v/>
      </c>
      <c r="AM458" s="13" t="str">
        <f>IF($A458="","",IFERROR(VLOOKUP($A458,Sheet1!$A:$AN,39,0),""))</f>
        <v/>
      </c>
      <c r="AN458" s="13" t="str">
        <f>IF($A458="","",IFERROR(VLOOKUP($A458,Sheet1!$A:$AN,40,0),""))</f>
        <v/>
      </c>
    </row>
    <row r="459" customHeight="1" spans="1:40">
      <c r="A459" s="5" t="str">
        <f>IF(Sheet1!$A459="","",Sheet1!$A459)</f>
        <v/>
      </c>
      <c r="B459" s="5" t="str">
        <f t="shared" si="35"/>
        <v/>
      </c>
      <c r="C459" s="5" t="str">
        <f>IF($A459="","",IFERROR(VLOOKUP($A459,Sheet1!$A:$AN,3,0),""))</f>
        <v/>
      </c>
      <c r="D459" s="5" t="str">
        <f t="shared" si="36"/>
        <v/>
      </c>
      <c r="I459" s="5" t="str">
        <f t="shared" si="37"/>
        <v/>
      </c>
      <c r="M459" s="5" t="str">
        <f t="shared" si="38"/>
        <v/>
      </c>
      <c r="R459" s="5" t="str">
        <f>IF($A459="","",IFERROR(VLOOKUP($A459,Sheet1!A:AN,18,0),""))</f>
        <v/>
      </c>
      <c r="S459" s="5" t="str">
        <f>IF($A459="","",IFERROR(VLOOKUP($A459,Sheet1!$A:$AN,19,0),""))</f>
        <v/>
      </c>
      <c r="T459" s="5" t="str">
        <f t="shared" si="39"/>
        <v/>
      </c>
      <c r="U459" s="5" t="str">
        <f>IF($A459="","",IFERROR(VLOOKUP($A459,Sheet1!$A:$AN,21,0),""))</f>
        <v/>
      </c>
      <c r="V459" s="5" t="str">
        <f>IF($A459="","",IFERROR(SUBSTITUTE(VLOOKUP($A459,Sheet1!$A:$AN,22,0),"族",""),""))</f>
        <v/>
      </c>
      <c r="W459" s="5" t="str">
        <f>IF($A459="","",IFERROR(VLOOKUP($A459,Sheet1!$A:$AN,23,0),""))</f>
        <v/>
      </c>
      <c r="X459" s="5" t="str">
        <f>IF($A459="","",IFERROR(VLOOKUP($A459,Sheet1!$A:$AN,24,0),""))</f>
        <v/>
      </c>
      <c r="Y459" s="5" t="str">
        <f>IF($A459="","",IFERROR(VLOOKUP($A459,Sheet1!$A:$AN,25,0),""))</f>
        <v/>
      </c>
      <c r="AK459" s="5" t="str">
        <f>IF($A459="","",IFERROR(VLOOKUP($A459,Sheet1!$A:$AN,37,0),""))</f>
        <v/>
      </c>
      <c r="AL459" s="13" t="str">
        <f>IF($A459="","",IFERROR(VLOOKUP($A459,Sheet1!$A:$AN,38,0),""))</f>
        <v/>
      </c>
      <c r="AM459" s="13" t="str">
        <f>IF($A459="","",IFERROR(VLOOKUP($A459,Sheet1!$A:$AN,39,0),""))</f>
        <v/>
      </c>
      <c r="AN459" s="13" t="str">
        <f>IF($A459="","",IFERROR(VLOOKUP($A459,Sheet1!$A:$AN,40,0),""))</f>
        <v/>
      </c>
    </row>
    <row r="460" customHeight="1" spans="1:40">
      <c r="A460" s="5" t="str">
        <f>IF(Sheet1!$A460="","",Sheet1!$A460)</f>
        <v/>
      </c>
      <c r="B460" s="5" t="str">
        <f t="shared" si="35"/>
        <v/>
      </c>
      <c r="C460" s="5" t="str">
        <f>IF($A460="","",IFERROR(VLOOKUP($A460,Sheet1!$A:$AN,3,0),""))</f>
        <v/>
      </c>
      <c r="D460" s="5" t="str">
        <f t="shared" si="36"/>
        <v/>
      </c>
      <c r="I460" s="5" t="str">
        <f t="shared" si="37"/>
        <v/>
      </c>
      <c r="M460" s="5" t="str">
        <f t="shared" si="38"/>
        <v/>
      </c>
      <c r="R460" s="5" t="str">
        <f>IF($A460="","",IFERROR(VLOOKUP($A460,Sheet1!A:AN,18,0),""))</f>
        <v/>
      </c>
      <c r="S460" s="5" t="str">
        <f>IF($A460="","",IFERROR(VLOOKUP($A460,Sheet1!$A:$AN,19,0),""))</f>
        <v/>
      </c>
      <c r="T460" s="5" t="str">
        <f t="shared" si="39"/>
        <v/>
      </c>
      <c r="U460" s="5" t="str">
        <f>IF($A460="","",IFERROR(VLOOKUP($A460,Sheet1!$A:$AN,21,0),""))</f>
        <v/>
      </c>
      <c r="V460" s="5" t="str">
        <f>IF($A460="","",IFERROR(SUBSTITUTE(VLOOKUP($A460,Sheet1!$A:$AN,22,0),"族",""),""))</f>
        <v/>
      </c>
      <c r="W460" s="5" t="str">
        <f>IF($A460="","",IFERROR(VLOOKUP($A460,Sheet1!$A:$AN,23,0),""))</f>
        <v/>
      </c>
      <c r="X460" s="5" t="str">
        <f>IF($A460="","",IFERROR(VLOOKUP($A460,Sheet1!$A:$AN,24,0),""))</f>
        <v/>
      </c>
      <c r="Y460" s="5" t="str">
        <f>IF($A460="","",IFERROR(VLOOKUP($A460,Sheet1!$A:$AN,25,0),""))</f>
        <v/>
      </c>
      <c r="AK460" s="5" t="str">
        <f>IF($A460="","",IFERROR(VLOOKUP($A460,Sheet1!$A:$AN,37,0),""))</f>
        <v/>
      </c>
      <c r="AL460" s="13" t="str">
        <f>IF($A460="","",IFERROR(VLOOKUP($A460,Sheet1!$A:$AN,38,0),""))</f>
        <v/>
      </c>
      <c r="AM460" s="13" t="str">
        <f>IF($A460="","",IFERROR(VLOOKUP($A460,Sheet1!$A:$AN,39,0),""))</f>
        <v/>
      </c>
      <c r="AN460" s="13" t="str">
        <f>IF($A460="","",IFERROR(VLOOKUP($A460,Sheet1!$A:$AN,40,0),""))</f>
        <v/>
      </c>
    </row>
    <row r="461" customHeight="1" spans="1:40">
      <c r="A461" s="5" t="str">
        <f>IF(Sheet1!$A461="","",Sheet1!$A461)</f>
        <v/>
      </c>
      <c r="B461" s="5" t="str">
        <f t="shared" si="35"/>
        <v/>
      </c>
      <c r="C461" s="5" t="str">
        <f>IF($A461="","",IFERROR(VLOOKUP($A461,Sheet1!$A:$AN,3,0),""))</f>
        <v/>
      </c>
      <c r="D461" s="5" t="str">
        <f t="shared" si="36"/>
        <v/>
      </c>
      <c r="I461" s="5" t="str">
        <f t="shared" si="37"/>
        <v/>
      </c>
      <c r="M461" s="5" t="str">
        <f t="shared" si="38"/>
        <v/>
      </c>
      <c r="R461" s="5" t="str">
        <f>IF($A461="","",IFERROR(VLOOKUP($A461,Sheet1!A:AN,18,0),""))</f>
        <v/>
      </c>
      <c r="S461" s="5" t="str">
        <f>IF($A461="","",IFERROR(VLOOKUP($A461,Sheet1!$A:$AN,19,0),""))</f>
        <v/>
      </c>
      <c r="T461" s="5" t="str">
        <f t="shared" si="39"/>
        <v/>
      </c>
      <c r="U461" s="5" t="str">
        <f>IF($A461="","",IFERROR(VLOOKUP($A461,Sheet1!$A:$AN,21,0),""))</f>
        <v/>
      </c>
      <c r="V461" s="5" t="str">
        <f>IF($A461="","",IFERROR(SUBSTITUTE(VLOOKUP($A461,Sheet1!$A:$AN,22,0),"族",""),""))</f>
        <v/>
      </c>
      <c r="W461" s="5" t="str">
        <f>IF($A461="","",IFERROR(VLOOKUP($A461,Sheet1!$A:$AN,23,0),""))</f>
        <v/>
      </c>
      <c r="X461" s="5" t="str">
        <f>IF($A461="","",IFERROR(VLOOKUP($A461,Sheet1!$A:$AN,24,0),""))</f>
        <v/>
      </c>
      <c r="Y461" s="5" t="str">
        <f>IF($A461="","",IFERROR(VLOOKUP($A461,Sheet1!$A:$AN,25,0),""))</f>
        <v/>
      </c>
      <c r="AK461" s="5" t="str">
        <f>IF($A461="","",IFERROR(VLOOKUP($A461,Sheet1!$A:$AN,37,0),""))</f>
        <v/>
      </c>
      <c r="AL461" s="13" t="str">
        <f>IF($A461="","",IFERROR(VLOOKUP($A461,Sheet1!$A:$AN,38,0),""))</f>
        <v/>
      </c>
      <c r="AM461" s="13" t="str">
        <f>IF($A461="","",IFERROR(VLOOKUP($A461,Sheet1!$A:$AN,39,0),""))</f>
        <v/>
      </c>
      <c r="AN461" s="13" t="str">
        <f>IF($A461="","",IFERROR(VLOOKUP($A461,Sheet1!$A:$AN,40,0),""))</f>
        <v/>
      </c>
    </row>
    <row r="462" customHeight="1" spans="1:40">
      <c r="A462" s="5" t="str">
        <f>IF(Sheet1!$A462="","",Sheet1!$A462)</f>
        <v/>
      </c>
      <c r="B462" s="5" t="str">
        <f t="shared" si="35"/>
        <v/>
      </c>
      <c r="C462" s="5" t="str">
        <f>IF($A462="","",IFERROR(VLOOKUP($A462,Sheet1!$A:$AN,3,0),""))</f>
        <v/>
      </c>
      <c r="D462" s="5" t="str">
        <f t="shared" si="36"/>
        <v/>
      </c>
      <c r="I462" s="5" t="str">
        <f t="shared" si="37"/>
        <v/>
      </c>
      <c r="M462" s="5" t="str">
        <f t="shared" si="38"/>
        <v/>
      </c>
      <c r="R462" s="5" t="str">
        <f>IF($A462="","",IFERROR(VLOOKUP($A462,Sheet1!A:AN,18,0),""))</f>
        <v/>
      </c>
      <c r="S462" s="5" t="str">
        <f>IF($A462="","",IFERROR(VLOOKUP($A462,Sheet1!$A:$AN,19,0),""))</f>
        <v/>
      </c>
      <c r="T462" s="5" t="str">
        <f t="shared" si="39"/>
        <v/>
      </c>
      <c r="U462" s="5" t="str">
        <f>IF($A462="","",IFERROR(VLOOKUP($A462,Sheet1!$A:$AN,21,0),""))</f>
        <v/>
      </c>
      <c r="V462" s="5" t="str">
        <f>IF($A462="","",IFERROR(SUBSTITUTE(VLOOKUP($A462,Sheet1!$A:$AN,22,0),"族",""),""))</f>
        <v/>
      </c>
      <c r="W462" s="5" t="str">
        <f>IF($A462="","",IFERROR(VLOOKUP($A462,Sheet1!$A:$AN,23,0),""))</f>
        <v/>
      </c>
      <c r="X462" s="5" t="str">
        <f>IF($A462="","",IFERROR(VLOOKUP($A462,Sheet1!$A:$AN,24,0),""))</f>
        <v/>
      </c>
      <c r="Y462" s="5" t="str">
        <f>IF($A462="","",IFERROR(VLOOKUP($A462,Sheet1!$A:$AN,25,0),""))</f>
        <v/>
      </c>
      <c r="AK462" s="5" t="str">
        <f>IF($A462="","",IFERROR(VLOOKUP($A462,Sheet1!$A:$AN,37,0),""))</f>
        <v/>
      </c>
      <c r="AL462" s="13" t="str">
        <f>IF($A462="","",IFERROR(VLOOKUP($A462,Sheet1!$A:$AN,38,0),""))</f>
        <v/>
      </c>
      <c r="AM462" s="13" t="str">
        <f>IF($A462="","",IFERROR(VLOOKUP($A462,Sheet1!$A:$AN,39,0),""))</f>
        <v/>
      </c>
      <c r="AN462" s="13" t="str">
        <f>IF($A462="","",IFERROR(VLOOKUP($A462,Sheet1!$A:$AN,40,0),""))</f>
        <v/>
      </c>
    </row>
    <row r="463" customHeight="1" spans="1:40">
      <c r="A463" s="5" t="str">
        <f>IF(Sheet1!$A463="","",Sheet1!$A463)</f>
        <v/>
      </c>
      <c r="B463" s="5" t="str">
        <f t="shared" si="35"/>
        <v/>
      </c>
      <c r="C463" s="5" t="str">
        <f>IF($A463="","",IFERROR(VLOOKUP($A463,Sheet1!$A:$AN,3,0),""))</f>
        <v/>
      </c>
      <c r="D463" s="5" t="str">
        <f t="shared" si="36"/>
        <v/>
      </c>
      <c r="I463" s="5" t="str">
        <f t="shared" si="37"/>
        <v/>
      </c>
      <c r="M463" s="5" t="str">
        <f t="shared" si="38"/>
        <v/>
      </c>
      <c r="R463" s="5" t="str">
        <f>IF($A463="","",IFERROR(VLOOKUP($A463,Sheet1!A:AN,18,0),""))</f>
        <v/>
      </c>
      <c r="S463" s="5" t="str">
        <f>IF($A463="","",IFERROR(VLOOKUP($A463,Sheet1!$A:$AN,19,0),""))</f>
        <v/>
      </c>
      <c r="T463" s="5" t="str">
        <f t="shared" si="39"/>
        <v/>
      </c>
      <c r="U463" s="5" t="str">
        <f>IF($A463="","",IFERROR(VLOOKUP($A463,Sheet1!$A:$AN,21,0),""))</f>
        <v/>
      </c>
      <c r="V463" s="5" t="str">
        <f>IF($A463="","",IFERROR(SUBSTITUTE(VLOOKUP($A463,Sheet1!$A:$AN,22,0),"族",""),""))</f>
        <v/>
      </c>
      <c r="W463" s="5" t="str">
        <f>IF($A463="","",IFERROR(VLOOKUP($A463,Sheet1!$A:$AN,23,0),""))</f>
        <v/>
      </c>
      <c r="X463" s="5" t="str">
        <f>IF($A463="","",IFERROR(VLOOKUP($A463,Sheet1!$A:$AN,24,0),""))</f>
        <v/>
      </c>
      <c r="Y463" s="5" t="str">
        <f>IF($A463="","",IFERROR(VLOOKUP($A463,Sheet1!$A:$AN,25,0),""))</f>
        <v/>
      </c>
      <c r="AK463" s="5" t="str">
        <f>IF($A463="","",IFERROR(VLOOKUP($A463,Sheet1!$A:$AN,37,0),""))</f>
        <v/>
      </c>
      <c r="AL463" s="13" t="str">
        <f>IF($A463="","",IFERROR(VLOOKUP($A463,Sheet1!$A:$AN,38,0),""))</f>
        <v/>
      </c>
      <c r="AM463" s="13" t="str">
        <f>IF($A463="","",IFERROR(VLOOKUP($A463,Sheet1!$A:$AN,39,0),""))</f>
        <v/>
      </c>
      <c r="AN463" s="13" t="str">
        <f>IF($A463="","",IFERROR(VLOOKUP($A463,Sheet1!$A:$AN,40,0),""))</f>
        <v/>
      </c>
    </row>
    <row r="464" customHeight="1" spans="1:40">
      <c r="A464" s="5" t="str">
        <f>IF(Sheet1!$A464="","",Sheet1!$A464)</f>
        <v/>
      </c>
      <c r="B464" s="5" t="str">
        <f t="shared" si="35"/>
        <v/>
      </c>
      <c r="C464" s="5" t="str">
        <f>IF($A464="","",IFERROR(VLOOKUP($A464,Sheet1!$A:$AN,3,0),""))</f>
        <v/>
      </c>
      <c r="D464" s="5" t="str">
        <f t="shared" si="36"/>
        <v/>
      </c>
      <c r="I464" s="5" t="str">
        <f t="shared" si="37"/>
        <v/>
      </c>
      <c r="M464" s="5" t="str">
        <f t="shared" si="38"/>
        <v/>
      </c>
      <c r="R464" s="5" t="str">
        <f>IF($A464="","",IFERROR(VLOOKUP($A464,Sheet1!A:AN,18,0),""))</f>
        <v/>
      </c>
      <c r="S464" s="5" t="str">
        <f>IF($A464="","",IFERROR(VLOOKUP($A464,Sheet1!$A:$AN,19,0),""))</f>
        <v/>
      </c>
      <c r="T464" s="5" t="str">
        <f t="shared" si="39"/>
        <v/>
      </c>
      <c r="U464" s="5" t="str">
        <f>IF($A464="","",IFERROR(VLOOKUP($A464,Sheet1!$A:$AN,21,0),""))</f>
        <v/>
      </c>
      <c r="V464" s="5" t="str">
        <f>IF($A464="","",IFERROR(SUBSTITUTE(VLOOKUP($A464,Sheet1!$A:$AN,22,0),"族",""),""))</f>
        <v/>
      </c>
      <c r="W464" s="5" t="str">
        <f>IF($A464="","",IFERROR(VLOOKUP($A464,Sheet1!$A:$AN,23,0),""))</f>
        <v/>
      </c>
      <c r="X464" s="5" t="str">
        <f>IF($A464="","",IFERROR(VLOOKUP($A464,Sheet1!$A:$AN,24,0),""))</f>
        <v/>
      </c>
      <c r="Y464" s="5" t="str">
        <f>IF($A464="","",IFERROR(VLOOKUP($A464,Sheet1!$A:$AN,25,0),""))</f>
        <v/>
      </c>
      <c r="AK464" s="5" t="str">
        <f>IF($A464="","",IFERROR(VLOOKUP($A464,Sheet1!$A:$AN,37,0),""))</f>
        <v/>
      </c>
      <c r="AL464" s="13" t="str">
        <f>IF($A464="","",IFERROR(VLOOKUP($A464,Sheet1!$A:$AN,38,0),""))</f>
        <v/>
      </c>
      <c r="AM464" s="13" t="str">
        <f>IF($A464="","",IFERROR(VLOOKUP($A464,Sheet1!$A:$AN,39,0),""))</f>
        <v/>
      </c>
      <c r="AN464" s="13" t="str">
        <f>IF($A464="","",IFERROR(VLOOKUP($A464,Sheet1!$A:$AN,40,0),""))</f>
        <v/>
      </c>
    </row>
    <row r="465" customHeight="1" spans="1:40">
      <c r="A465" s="5" t="str">
        <f>IF(Sheet1!$A465="","",Sheet1!$A465)</f>
        <v/>
      </c>
      <c r="B465" s="5" t="str">
        <f t="shared" si="35"/>
        <v/>
      </c>
      <c r="C465" s="5" t="str">
        <f>IF($A465="","",IFERROR(VLOOKUP($A465,Sheet1!$A:$AN,3,0),""))</f>
        <v/>
      </c>
      <c r="D465" s="5" t="str">
        <f t="shared" si="36"/>
        <v/>
      </c>
      <c r="I465" s="5" t="str">
        <f t="shared" si="37"/>
        <v/>
      </c>
      <c r="M465" s="5" t="str">
        <f t="shared" si="38"/>
        <v/>
      </c>
      <c r="R465" s="5" t="str">
        <f>IF($A465="","",IFERROR(VLOOKUP($A465,Sheet1!A:AN,18,0),""))</f>
        <v/>
      </c>
      <c r="S465" s="5" t="str">
        <f>IF($A465="","",IFERROR(VLOOKUP($A465,Sheet1!$A:$AN,19,0),""))</f>
        <v/>
      </c>
      <c r="T465" s="5" t="str">
        <f t="shared" si="39"/>
        <v/>
      </c>
      <c r="U465" s="5" t="str">
        <f>IF($A465="","",IFERROR(VLOOKUP($A465,Sheet1!$A:$AN,21,0),""))</f>
        <v/>
      </c>
      <c r="V465" s="5" t="str">
        <f>IF($A465="","",IFERROR(SUBSTITUTE(VLOOKUP($A465,Sheet1!$A:$AN,22,0),"族",""),""))</f>
        <v/>
      </c>
      <c r="W465" s="5" t="str">
        <f>IF($A465="","",IFERROR(VLOOKUP($A465,Sheet1!$A:$AN,23,0),""))</f>
        <v/>
      </c>
      <c r="X465" s="5" t="str">
        <f>IF($A465="","",IFERROR(VLOOKUP($A465,Sheet1!$A:$AN,24,0),""))</f>
        <v/>
      </c>
      <c r="Y465" s="5" t="str">
        <f>IF($A465="","",IFERROR(VLOOKUP($A465,Sheet1!$A:$AN,25,0),""))</f>
        <v/>
      </c>
      <c r="AK465" s="5" t="str">
        <f>IF($A465="","",IFERROR(VLOOKUP($A465,Sheet1!$A:$AN,37,0),""))</f>
        <v/>
      </c>
      <c r="AL465" s="13" t="str">
        <f>IF($A465="","",IFERROR(VLOOKUP($A465,Sheet1!$A:$AN,38,0),""))</f>
        <v/>
      </c>
      <c r="AM465" s="13" t="str">
        <f>IF($A465="","",IFERROR(VLOOKUP($A465,Sheet1!$A:$AN,39,0),""))</f>
        <v/>
      </c>
      <c r="AN465" s="13" t="str">
        <f>IF($A465="","",IFERROR(VLOOKUP($A465,Sheet1!$A:$AN,40,0),""))</f>
        <v/>
      </c>
    </row>
    <row r="466" customHeight="1" spans="1:40">
      <c r="A466" s="5" t="str">
        <f>IF(Sheet1!$A466="","",Sheet1!$A466)</f>
        <v/>
      </c>
      <c r="B466" s="5" t="str">
        <f t="shared" si="35"/>
        <v/>
      </c>
      <c r="C466" s="5" t="str">
        <f>IF($A466="","",IFERROR(VLOOKUP($A466,Sheet1!$A:$AN,3,0),""))</f>
        <v/>
      </c>
      <c r="D466" s="5" t="str">
        <f t="shared" si="36"/>
        <v/>
      </c>
      <c r="I466" s="5" t="str">
        <f t="shared" si="37"/>
        <v/>
      </c>
      <c r="M466" s="5" t="str">
        <f t="shared" si="38"/>
        <v/>
      </c>
      <c r="R466" s="5" t="str">
        <f>IF($A466="","",IFERROR(VLOOKUP($A466,Sheet1!A:AN,18,0),""))</f>
        <v/>
      </c>
      <c r="S466" s="5" t="str">
        <f>IF($A466="","",IFERROR(VLOOKUP($A466,Sheet1!$A:$AN,19,0),""))</f>
        <v/>
      </c>
      <c r="T466" s="5" t="str">
        <f t="shared" si="39"/>
        <v/>
      </c>
      <c r="U466" s="5" t="str">
        <f>IF($A466="","",IFERROR(VLOOKUP($A466,Sheet1!$A:$AN,21,0),""))</f>
        <v/>
      </c>
      <c r="V466" s="5" t="str">
        <f>IF($A466="","",IFERROR(SUBSTITUTE(VLOOKUP($A466,Sheet1!$A:$AN,22,0),"族",""),""))</f>
        <v/>
      </c>
      <c r="W466" s="5" t="str">
        <f>IF($A466="","",IFERROR(VLOOKUP($A466,Sheet1!$A:$AN,23,0),""))</f>
        <v/>
      </c>
      <c r="X466" s="5" t="str">
        <f>IF($A466="","",IFERROR(VLOOKUP($A466,Sheet1!$A:$AN,24,0),""))</f>
        <v/>
      </c>
      <c r="Y466" s="5" t="str">
        <f>IF($A466="","",IFERROR(VLOOKUP($A466,Sheet1!$A:$AN,25,0),""))</f>
        <v/>
      </c>
      <c r="AK466" s="5" t="str">
        <f>IF($A466="","",IFERROR(VLOOKUP($A466,Sheet1!$A:$AN,37,0),""))</f>
        <v/>
      </c>
      <c r="AL466" s="13" t="str">
        <f>IF($A466="","",IFERROR(VLOOKUP($A466,Sheet1!$A:$AN,38,0),""))</f>
        <v/>
      </c>
      <c r="AM466" s="13" t="str">
        <f>IF($A466="","",IFERROR(VLOOKUP($A466,Sheet1!$A:$AN,39,0),""))</f>
        <v/>
      </c>
      <c r="AN466" s="13" t="str">
        <f>IF($A466="","",IFERROR(VLOOKUP($A466,Sheet1!$A:$AN,40,0),""))</f>
        <v/>
      </c>
    </row>
    <row r="467" customHeight="1" spans="1:40">
      <c r="A467" s="5" t="str">
        <f>IF(Sheet1!$A467="","",Sheet1!$A467)</f>
        <v/>
      </c>
      <c r="B467" s="5" t="str">
        <f t="shared" si="35"/>
        <v/>
      </c>
      <c r="C467" s="5" t="str">
        <f>IF($A467="","",IFERROR(VLOOKUP($A467,Sheet1!$A:$AN,3,0),""))</f>
        <v/>
      </c>
      <c r="D467" s="5" t="str">
        <f t="shared" si="36"/>
        <v/>
      </c>
      <c r="I467" s="5" t="str">
        <f t="shared" si="37"/>
        <v/>
      </c>
      <c r="M467" s="5" t="str">
        <f t="shared" si="38"/>
        <v/>
      </c>
      <c r="R467" s="5" t="str">
        <f>IF($A467="","",IFERROR(VLOOKUP($A467,Sheet1!A:AN,18,0),""))</f>
        <v/>
      </c>
      <c r="S467" s="5" t="str">
        <f>IF($A467="","",IFERROR(VLOOKUP($A467,Sheet1!$A:$AN,19,0),""))</f>
        <v/>
      </c>
      <c r="T467" s="5" t="str">
        <f t="shared" si="39"/>
        <v/>
      </c>
      <c r="U467" s="5" t="str">
        <f>IF($A467="","",IFERROR(VLOOKUP($A467,Sheet1!$A:$AN,21,0),""))</f>
        <v/>
      </c>
      <c r="V467" s="5" t="str">
        <f>IF($A467="","",IFERROR(SUBSTITUTE(VLOOKUP($A467,Sheet1!$A:$AN,22,0),"族",""),""))</f>
        <v/>
      </c>
      <c r="W467" s="5" t="str">
        <f>IF($A467="","",IFERROR(VLOOKUP($A467,Sheet1!$A:$AN,23,0),""))</f>
        <v/>
      </c>
      <c r="X467" s="5" t="str">
        <f>IF($A467="","",IFERROR(VLOOKUP($A467,Sheet1!$A:$AN,24,0),""))</f>
        <v/>
      </c>
      <c r="Y467" s="5" t="str">
        <f>IF($A467="","",IFERROR(VLOOKUP($A467,Sheet1!$A:$AN,25,0),""))</f>
        <v/>
      </c>
      <c r="AK467" s="5" t="str">
        <f>IF($A467="","",IFERROR(VLOOKUP($A467,Sheet1!$A:$AN,37,0),""))</f>
        <v/>
      </c>
      <c r="AL467" s="13" t="str">
        <f>IF($A467="","",IFERROR(VLOOKUP($A467,Sheet1!$A:$AN,38,0),""))</f>
        <v/>
      </c>
      <c r="AM467" s="13" t="str">
        <f>IF($A467="","",IFERROR(VLOOKUP($A467,Sheet1!$A:$AN,39,0),""))</f>
        <v/>
      </c>
      <c r="AN467" s="13" t="str">
        <f>IF($A467="","",IFERROR(VLOOKUP($A467,Sheet1!$A:$AN,40,0),""))</f>
        <v/>
      </c>
    </row>
    <row r="468" customHeight="1" spans="1:40">
      <c r="A468" s="5" t="str">
        <f>IF(Sheet1!$A468="","",Sheet1!$A468)</f>
        <v/>
      </c>
      <c r="B468" s="5" t="str">
        <f t="shared" si="35"/>
        <v/>
      </c>
      <c r="C468" s="5" t="str">
        <f>IF($A468="","",IFERROR(VLOOKUP($A468,Sheet1!$A:$AN,3,0),""))</f>
        <v/>
      </c>
      <c r="D468" s="5" t="str">
        <f t="shared" si="36"/>
        <v/>
      </c>
      <c r="I468" s="5" t="str">
        <f t="shared" si="37"/>
        <v/>
      </c>
      <c r="M468" s="5" t="str">
        <f t="shared" si="38"/>
        <v/>
      </c>
      <c r="R468" s="5" t="str">
        <f>IF($A468="","",IFERROR(VLOOKUP($A468,Sheet1!A:AN,18,0),""))</f>
        <v/>
      </c>
      <c r="S468" s="5" t="str">
        <f>IF($A468="","",IFERROR(VLOOKUP($A468,Sheet1!$A:$AN,19,0),""))</f>
        <v/>
      </c>
      <c r="T468" s="5" t="str">
        <f t="shared" si="39"/>
        <v/>
      </c>
      <c r="U468" s="5" t="str">
        <f>IF($A468="","",IFERROR(VLOOKUP($A468,Sheet1!$A:$AN,21,0),""))</f>
        <v/>
      </c>
      <c r="V468" s="5" t="str">
        <f>IF($A468="","",IFERROR(SUBSTITUTE(VLOOKUP($A468,Sheet1!$A:$AN,22,0),"族",""),""))</f>
        <v/>
      </c>
      <c r="W468" s="5" t="str">
        <f>IF($A468="","",IFERROR(VLOOKUP($A468,Sheet1!$A:$AN,23,0),""))</f>
        <v/>
      </c>
      <c r="X468" s="5" t="str">
        <f>IF($A468="","",IFERROR(VLOOKUP($A468,Sheet1!$A:$AN,24,0),""))</f>
        <v/>
      </c>
      <c r="Y468" s="5" t="str">
        <f>IF($A468="","",IFERROR(VLOOKUP($A468,Sheet1!$A:$AN,25,0),""))</f>
        <v/>
      </c>
      <c r="AK468" s="5" t="str">
        <f>IF($A468="","",IFERROR(VLOOKUP($A468,Sheet1!$A:$AN,37,0),""))</f>
        <v/>
      </c>
      <c r="AL468" s="13" t="str">
        <f>IF($A468="","",IFERROR(VLOOKUP($A468,Sheet1!$A:$AN,38,0),""))</f>
        <v/>
      </c>
      <c r="AM468" s="13" t="str">
        <f>IF($A468="","",IFERROR(VLOOKUP($A468,Sheet1!$A:$AN,39,0),""))</f>
        <v/>
      </c>
      <c r="AN468" s="13" t="str">
        <f>IF($A468="","",IFERROR(VLOOKUP($A468,Sheet1!$A:$AN,40,0),""))</f>
        <v/>
      </c>
    </row>
    <row r="469" customHeight="1" spans="1:40">
      <c r="A469" s="5" t="str">
        <f>IF(Sheet1!$A469="","",Sheet1!$A469)</f>
        <v/>
      </c>
      <c r="B469" s="5" t="str">
        <f t="shared" si="35"/>
        <v/>
      </c>
      <c r="C469" s="5" t="str">
        <f>IF($A469="","",IFERROR(VLOOKUP($A469,Sheet1!$A:$AN,3,0),""))</f>
        <v/>
      </c>
      <c r="D469" s="5" t="str">
        <f t="shared" si="36"/>
        <v/>
      </c>
      <c r="I469" s="5" t="str">
        <f t="shared" si="37"/>
        <v/>
      </c>
      <c r="M469" s="5" t="str">
        <f t="shared" si="38"/>
        <v/>
      </c>
      <c r="R469" s="5" t="str">
        <f>IF($A469="","",IFERROR(VLOOKUP($A469,Sheet1!A:AN,18,0),""))</f>
        <v/>
      </c>
      <c r="S469" s="5" t="str">
        <f>IF($A469="","",IFERROR(VLOOKUP($A469,Sheet1!$A:$AN,19,0),""))</f>
        <v/>
      </c>
      <c r="T469" s="5" t="str">
        <f t="shared" si="39"/>
        <v/>
      </c>
      <c r="U469" s="5" t="str">
        <f>IF($A469="","",IFERROR(VLOOKUP($A469,Sheet1!$A:$AN,21,0),""))</f>
        <v/>
      </c>
      <c r="V469" s="5" t="str">
        <f>IF($A469="","",IFERROR(SUBSTITUTE(VLOOKUP($A469,Sheet1!$A:$AN,22,0),"族",""),""))</f>
        <v/>
      </c>
      <c r="W469" s="5" t="str">
        <f>IF($A469="","",IFERROR(VLOOKUP($A469,Sheet1!$A:$AN,23,0),""))</f>
        <v/>
      </c>
      <c r="X469" s="5" t="str">
        <f>IF($A469="","",IFERROR(VLOOKUP($A469,Sheet1!$A:$AN,24,0),""))</f>
        <v/>
      </c>
      <c r="Y469" s="5" t="str">
        <f>IF($A469="","",IFERROR(VLOOKUP($A469,Sheet1!$A:$AN,25,0),""))</f>
        <v/>
      </c>
      <c r="AK469" s="5" t="str">
        <f>IF($A469="","",IFERROR(VLOOKUP($A469,Sheet1!$A:$AN,37,0),""))</f>
        <v/>
      </c>
      <c r="AL469" s="13" t="str">
        <f>IF($A469="","",IFERROR(VLOOKUP($A469,Sheet1!$A:$AN,38,0),""))</f>
        <v/>
      </c>
      <c r="AM469" s="13" t="str">
        <f>IF($A469="","",IFERROR(VLOOKUP($A469,Sheet1!$A:$AN,39,0),""))</f>
        <v/>
      </c>
      <c r="AN469" s="13" t="str">
        <f>IF($A469="","",IFERROR(VLOOKUP($A469,Sheet1!$A:$AN,40,0),""))</f>
        <v/>
      </c>
    </row>
    <row r="470" customHeight="1" spans="1:40">
      <c r="A470" s="5" t="str">
        <f>IF(Sheet1!$A470="","",Sheet1!$A470)</f>
        <v/>
      </c>
      <c r="B470" s="5" t="str">
        <f t="shared" si="35"/>
        <v/>
      </c>
      <c r="C470" s="5" t="str">
        <f>IF($A470="","",IFERROR(VLOOKUP($A470,Sheet1!$A:$AN,3,0),""))</f>
        <v/>
      </c>
      <c r="D470" s="5" t="str">
        <f t="shared" si="36"/>
        <v/>
      </c>
      <c r="I470" s="5" t="str">
        <f t="shared" si="37"/>
        <v/>
      </c>
      <c r="M470" s="5" t="str">
        <f t="shared" si="38"/>
        <v/>
      </c>
      <c r="R470" s="5" t="str">
        <f>IF($A470="","",IFERROR(VLOOKUP($A470,Sheet1!A:AN,18,0),""))</f>
        <v/>
      </c>
      <c r="S470" s="5" t="str">
        <f>IF($A470="","",IFERROR(VLOOKUP($A470,Sheet1!$A:$AN,19,0),""))</f>
        <v/>
      </c>
      <c r="T470" s="5" t="str">
        <f t="shared" si="39"/>
        <v/>
      </c>
      <c r="U470" s="5" t="str">
        <f>IF($A470="","",IFERROR(VLOOKUP($A470,Sheet1!$A:$AN,21,0),""))</f>
        <v/>
      </c>
      <c r="V470" s="5" t="str">
        <f>IF($A470="","",IFERROR(SUBSTITUTE(VLOOKUP($A470,Sheet1!$A:$AN,22,0),"族",""),""))</f>
        <v/>
      </c>
      <c r="W470" s="5" t="str">
        <f>IF($A470="","",IFERROR(VLOOKUP($A470,Sheet1!$A:$AN,23,0),""))</f>
        <v/>
      </c>
      <c r="X470" s="5" t="str">
        <f>IF($A470="","",IFERROR(VLOOKUP($A470,Sheet1!$A:$AN,24,0),""))</f>
        <v/>
      </c>
      <c r="Y470" s="5" t="str">
        <f>IF($A470="","",IFERROR(VLOOKUP($A470,Sheet1!$A:$AN,25,0),""))</f>
        <v/>
      </c>
      <c r="AK470" s="5" t="str">
        <f>IF($A470="","",IFERROR(VLOOKUP($A470,Sheet1!$A:$AN,37,0),""))</f>
        <v/>
      </c>
      <c r="AL470" s="13" t="str">
        <f>IF($A470="","",IFERROR(VLOOKUP($A470,Sheet1!$A:$AN,38,0),""))</f>
        <v/>
      </c>
      <c r="AM470" s="13" t="str">
        <f>IF($A470="","",IFERROR(VLOOKUP($A470,Sheet1!$A:$AN,39,0),""))</f>
        <v/>
      </c>
      <c r="AN470" s="13" t="str">
        <f>IF($A470="","",IFERROR(VLOOKUP($A470,Sheet1!$A:$AN,40,0),""))</f>
        <v/>
      </c>
    </row>
    <row r="471" customHeight="1" spans="1:40">
      <c r="A471" s="5" t="str">
        <f>IF(Sheet1!$A471="","",Sheet1!$A471)</f>
        <v/>
      </c>
      <c r="B471" s="5" t="str">
        <f t="shared" si="35"/>
        <v/>
      </c>
      <c r="C471" s="5" t="str">
        <f>IF($A471="","",IFERROR(VLOOKUP($A471,Sheet1!$A:$AN,3,0),""))</f>
        <v/>
      </c>
      <c r="D471" s="5" t="str">
        <f t="shared" si="36"/>
        <v/>
      </c>
      <c r="I471" s="5" t="str">
        <f t="shared" si="37"/>
        <v/>
      </c>
      <c r="M471" s="5" t="str">
        <f t="shared" si="38"/>
        <v/>
      </c>
      <c r="R471" s="5" t="str">
        <f>IF($A471="","",IFERROR(VLOOKUP($A471,Sheet1!A:AN,18,0),""))</f>
        <v/>
      </c>
      <c r="S471" s="5" t="str">
        <f>IF($A471="","",IFERROR(VLOOKUP($A471,Sheet1!$A:$AN,19,0),""))</f>
        <v/>
      </c>
      <c r="T471" s="5" t="str">
        <f t="shared" si="39"/>
        <v/>
      </c>
      <c r="U471" s="5" t="str">
        <f>IF($A471="","",IFERROR(VLOOKUP($A471,Sheet1!$A:$AN,21,0),""))</f>
        <v/>
      </c>
      <c r="V471" s="5" t="str">
        <f>IF($A471="","",IFERROR(SUBSTITUTE(VLOOKUP($A471,Sheet1!$A:$AN,22,0),"族",""),""))</f>
        <v/>
      </c>
      <c r="W471" s="5" t="str">
        <f>IF($A471="","",IFERROR(VLOOKUP($A471,Sheet1!$A:$AN,23,0),""))</f>
        <v/>
      </c>
      <c r="X471" s="5" t="str">
        <f>IF($A471="","",IFERROR(VLOOKUP($A471,Sheet1!$A:$AN,24,0),""))</f>
        <v/>
      </c>
      <c r="Y471" s="5" t="str">
        <f>IF($A471="","",IFERROR(VLOOKUP($A471,Sheet1!$A:$AN,25,0),""))</f>
        <v/>
      </c>
      <c r="AK471" s="5" t="str">
        <f>IF($A471="","",IFERROR(VLOOKUP($A471,Sheet1!$A:$AN,37,0),""))</f>
        <v/>
      </c>
      <c r="AL471" s="13" t="str">
        <f>IF($A471="","",IFERROR(VLOOKUP($A471,Sheet1!$A:$AN,38,0),""))</f>
        <v/>
      </c>
      <c r="AM471" s="13" t="str">
        <f>IF($A471="","",IFERROR(VLOOKUP($A471,Sheet1!$A:$AN,39,0),""))</f>
        <v/>
      </c>
      <c r="AN471" s="13" t="str">
        <f>IF($A471="","",IFERROR(VLOOKUP($A471,Sheet1!$A:$AN,40,0),""))</f>
        <v/>
      </c>
    </row>
    <row r="472" customHeight="1" spans="1:40">
      <c r="A472" s="5" t="str">
        <f>IF(Sheet1!$A472="","",Sheet1!$A472)</f>
        <v/>
      </c>
      <c r="B472" s="5" t="str">
        <f t="shared" si="35"/>
        <v/>
      </c>
      <c r="C472" s="5" t="str">
        <f>IF($A472="","",IFERROR(VLOOKUP($A472,Sheet1!$A:$AN,3,0),""))</f>
        <v/>
      </c>
      <c r="D472" s="5" t="str">
        <f t="shared" si="36"/>
        <v/>
      </c>
      <c r="I472" s="5" t="str">
        <f t="shared" si="37"/>
        <v/>
      </c>
      <c r="M472" s="5" t="str">
        <f t="shared" si="38"/>
        <v/>
      </c>
      <c r="R472" s="5" t="str">
        <f>IF($A472="","",IFERROR(VLOOKUP($A472,Sheet1!A:AN,18,0),""))</f>
        <v/>
      </c>
      <c r="S472" s="5" t="str">
        <f>IF($A472="","",IFERROR(VLOOKUP($A472,Sheet1!$A:$AN,19,0),""))</f>
        <v/>
      </c>
      <c r="T472" s="5" t="str">
        <f t="shared" si="39"/>
        <v/>
      </c>
      <c r="U472" s="5" t="str">
        <f>IF($A472="","",IFERROR(VLOOKUP($A472,Sheet1!$A:$AN,21,0),""))</f>
        <v/>
      </c>
      <c r="V472" s="5" t="str">
        <f>IF($A472="","",IFERROR(SUBSTITUTE(VLOOKUP($A472,Sheet1!$A:$AN,22,0),"族",""),""))</f>
        <v/>
      </c>
      <c r="W472" s="5" t="str">
        <f>IF($A472="","",IFERROR(VLOOKUP($A472,Sheet1!$A:$AN,23,0),""))</f>
        <v/>
      </c>
      <c r="X472" s="5" t="str">
        <f>IF($A472="","",IFERROR(VLOOKUP($A472,Sheet1!$A:$AN,24,0),""))</f>
        <v/>
      </c>
      <c r="Y472" s="5" t="str">
        <f>IF($A472="","",IFERROR(VLOOKUP($A472,Sheet1!$A:$AN,25,0),""))</f>
        <v/>
      </c>
      <c r="AK472" s="5" t="str">
        <f>IF($A472="","",IFERROR(VLOOKUP($A472,Sheet1!$A:$AN,37,0),""))</f>
        <v/>
      </c>
      <c r="AL472" s="13" t="str">
        <f>IF($A472="","",IFERROR(VLOOKUP($A472,Sheet1!$A:$AN,38,0),""))</f>
        <v/>
      </c>
      <c r="AM472" s="13" t="str">
        <f>IF($A472="","",IFERROR(VLOOKUP($A472,Sheet1!$A:$AN,39,0),""))</f>
        <v/>
      </c>
      <c r="AN472" s="13" t="str">
        <f>IF($A472="","",IFERROR(VLOOKUP($A472,Sheet1!$A:$AN,40,0),""))</f>
        <v/>
      </c>
    </row>
    <row r="473" customHeight="1" spans="1:40">
      <c r="A473" s="5" t="str">
        <f>IF(Sheet1!$A473="","",Sheet1!$A473)</f>
        <v/>
      </c>
      <c r="B473" s="5" t="str">
        <f t="shared" si="35"/>
        <v/>
      </c>
      <c r="C473" s="5" t="str">
        <f>IF($A473="","",IFERROR(VLOOKUP($A473,Sheet1!$A:$AN,3,0),""))</f>
        <v/>
      </c>
      <c r="D473" s="5" t="str">
        <f t="shared" si="36"/>
        <v/>
      </c>
      <c r="I473" s="5" t="str">
        <f t="shared" si="37"/>
        <v/>
      </c>
      <c r="M473" s="5" t="str">
        <f t="shared" si="38"/>
        <v/>
      </c>
      <c r="R473" s="5" t="str">
        <f>IF($A473="","",IFERROR(VLOOKUP($A473,Sheet1!A:AN,18,0),""))</f>
        <v/>
      </c>
      <c r="S473" s="5" t="str">
        <f>IF($A473="","",IFERROR(VLOOKUP($A473,Sheet1!$A:$AN,19,0),""))</f>
        <v/>
      </c>
      <c r="T473" s="5" t="str">
        <f t="shared" si="39"/>
        <v/>
      </c>
      <c r="U473" s="5" t="str">
        <f>IF($A473="","",IFERROR(VLOOKUP($A473,Sheet1!$A:$AN,21,0),""))</f>
        <v/>
      </c>
      <c r="V473" s="5" t="str">
        <f>IF($A473="","",IFERROR(SUBSTITUTE(VLOOKUP($A473,Sheet1!$A:$AN,22,0),"族",""),""))</f>
        <v/>
      </c>
      <c r="W473" s="5" t="str">
        <f>IF($A473="","",IFERROR(VLOOKUP($A473,Sheet1!$A:$AN,23,0),""))</f>
        <v/>
      </c>
      <c r="X473" s="5" t="str">
        <f>IF($A473="","",IFERROR(VLOOKUP($A473,Sheet1!$A:$AN,24,0),""))</f>
        <v/>
      </c>
      <c r="Y473" s="5" t="str">
        <f>IF($A473="","",IFERROR(VLOOKUP($A473,Sheet1!$A:$AN,25,0),""))</f>
        <v/>
      </c>
      <c r="AK473" s="5" t="str">
        <f>IF($A473="","",IFERROR(VLOOKUP($A473,Sheet1!$A:$AN,37,0),""))</f>
        <v/>
      </c>
      <c r="AL473" s="13" t="str">
        <f>IF($A473="","",IFERROR(VLOOKUP($A473,Sheet1!$A:$AN,38,0),""))</f>
        <v/>
      </c>
      <c r="AM473" s="13" t="str">
        <f>IF($A473="","",IFERROR(VLOOKUP($A473,Sheet1!$A:$AN,39,0),""))</f>
        <v/>
      </c>
      <c r="AN473" s="13" t="str">
        <f>IF($A473="","",IFERROR(VLOOKUP($A473,Sheet1!$A:$AN,40,0),""))</f>
        <v/>
      </c>
    </row>
    <row r="474" customHeight="1" spans="1:40">
      <c r="A474" s="5" t="str">
        <f>IF(Sheet1!$A474="","",Sheet1!$A474)</f>
        <v/>
      </c>
      <c r="B474" s="5" t="str">
        <f t="shared" si="35"/>
        <v/>
      </c>
      <c r="C474" s="5" t="str">
        <f>IF($A474="","",IFERROR(VLOOKUP($A474,Sheet1!$A:$AN,3,0),""))</f>
        <v/>
      </c>
      <c r="D474" s="5" t="str">
        <f t="shared" si="36"/>
        <v/>
      </c>
      <c r="I474" s="5" t="str">
        <f t="shared" si="37"/>
        <v/>
      </c>
      <c r="M474" s="5" t="str">
        <f t="shared" si="38"/>
        <v/>
      </c>
      <c r="R474" s="5" t="str">
        <f>IF($A474="","",IFERROR(VLOOKUP($A474,Sheet1!A:AN,18,0),""))</f>
        <v/>
      </c>
      <c r="S474" s="5" t="str">
        <f>IF($A474="","",IFERROR(VLOOKUP($A474,Sheet1!$A:$AN,19,0),""))</f>
        <v/>
      </c>
      <c r="T474" s="5" t="str">
        <f t="shared" si="39"/>
        <v/>
      </c>
      <c r="U474" s="5" t="str">
        <f>IF($A474="","",IFERROR(VLOOKUP($A474,Sheet1!$A:$AN,21,0),""))</f>
        <v/>
      </c>
      <c r="V474" s="5" t="str">
        <f>IF($A474="","",IFERROR(SUBSTITUTE(VLOOKUP($A474,Sheet1!$A:$AN,22,0),"族",""),""))</f>
        <v/>
      </c>
      <c r="W474" s="5" t="str">
        <f>IF($A474="","",IFERROR(VLOOKUP($A474,Sheet1!$A:$AN,23,0),""))</f>
        <v/>
      </c>
      <c r="X474" s="5" t="str">
        <f>IF($A474="","",IFERROR(VLOOKUP($A474,Sheet1!$A:$AN,24,0),""))</f>
        <v/>
      </c>
      <c r="Y474" s="5" t="str">
        <f>IF($A474="","",IFERROR(VLOOKUP($A474,Sheet1!$A:$AN,25,0),""))</f>
        <v/>
      </c>
      <c r="AK474" s="5" t="str">
        <f>IF($A474="","",IFERROR(VLOOKUP($A474,Sheet1!$A:$AN,37,0),""))</f>
        <v/>
      </c>
      <c r="AL474" s="13" t="str">
        <f>IF($A474="","",IFERROR(VLOOKUP($A474,Sheet1!$A:$AN,38,0),""))</f>
        <v/>
      </c>
      <c r="AM474" s="13" t="str">
        <f>IF($A474="","",IFERROR(VLOOKUP($A474,Sheet1!$A:$AN,39,0),""))</f>
        <v/>
      </c>
      <c r="AN474" s="13" t="str">
        <f>IF($A474="","",IFERROR(VLOOKUP($A474,Sheet1!$A:$AN,40,0),""))</f>
        <v/>
      </c>
    </row>
    <row r="475" customHeight="1" spans="1:40">
      <c r="A475" s="5" t="str">
        <f>IF(Sheet1!$A475="","",Sheet1!$A475)</f>
        <v/>
      </c>
      <c r="B475" s="5" t="str">
        <f t="shared" si="35"/>
        <v/>
      </c>
      <c r="C475" s="5" t="str">
        <f>IF($A475="","",IFERROR(VLOOKUP($A475,Sheet1!$A:$AN,3,0),""))</f>
        <v/>
      </c>
      <c r="D475" s="5" t="str">
        <f t="shared" si="36"/>
        <v/>
      </c>
      <c r="I475" s="5" t="str">
        <f t="shared" si="37"/>
        <v/>
      </c>
      <c r="M475" s="5" t="str">
        <f t="shared" si="38"/>
        <v/>
      </c>
      <c r="R475" s="5" t="str">
        <f>IF($A475="","",IFERROR(VLOOKUP($A475,Sheet1!A:AN,18,0),""))</f>
        <v/>
      </c>
      <c r="S475" s="5" t="str">
        <f>IF($A475="","",IFERROR(VLOOKUP($A475,Sheet1!$A:$AN,19,0),""))</f>
        <v/>
      </c>
      <c r="T475" s="5" t="str">
        <f t="shared" si="39"/>
        <v/>
      </c>
      <c r="U475" s="5" t="str">
        <f>IF($A475="","",IFERROR(VLOOKUP($A475,Sheet1!$A:$AN,21,0),""))</f>
        <v/>
      </c>
      <c r="V475" s="5" t="str">
        <f>IF($A475="","",IFERROR(SUBSTITUTE(VLOOKUP($A475,Sheet1!$A:$AN,22,0),"族",""),""))</f>
        <v/>
      </c>
      <c r="W475" s="5" t="str">
        <f>IF($A475="","",IFERROR(VLOOKUP($A475,Sheet1!$A:$AN,23,0),""))</f>
        <v/>
      </c>
      <c r="X475" s="5" t="str">
        <f>IF($A475="","",IFERROR(VLOOKUP($A475,Sheet1!$A:$AN,24,0),""))</f>
        <v/>
      </c>
      <c r="Y475" s="5" t="str">
        <f>IF($A475="","",IFERROR(VLOOKUP($A475,Sheet1!$A:$AN,25,0),""))</f>
        <v/>
      </c>
      <c r="AK475" s="5" t="str">
        <f>IF($A475="","",IFERROR(VLOOKUP($A475,Sheet1!$A:$AN,37,0),""))</f>
        <v/>
      </c>
      <c r="AL475" s="13" t="str">
        <f>IF($A475="","",IFERROR(VLOOKUP($A475,Sheet1!$A:$AN,38,0),""))</f>
        <v/>
      </c>
      <c r="AM475" s="13" t="str">
        <f>IF($A475="","",IFERROR(VLOOKUP($A475,Sheet1!$A:$AN,39,0),""))</f>
        <v/>
      </c>
      <c r="AN475" s="13" t="str">
        <f>IF($A475="","",IFERROR(VLOOKUP($A475,Sheet1!$A:$AN,40,0),""))</f>
        <v/>
      </c>
    </row>
    <row r="476" customHeight="1" spans="1:40">
      <c r="A476" s="5" t="str">
        <f>IF(Sheet1!$A476="","",Sheet1!$A476)</f>
        <v/>
      </c>
      <c r="B476" s="5" t="str">
        <f t="shared" si="35"/>
        <v/>
      </c>
      <c r="C476" s="5" t="str">
        <f>IF($A476="","",IFERROR(VLOOKUP($A476,Sheet1!$A:$AN,3,0),""))</f>
        <v/>
      </c>
      <c r="D476" s="5" t="str">
        <f t="shared" si="36"/>
        <v/>
      </c>
      <c r="I476" s="5" t="str">
        <f t="shared" si="37"/>
        <v/>
      </c>
      <c r="M476" s="5" t="str">
        <f t="shared" si="38"/>
        <v/>
      </c>
      <c r="R476" s="5" t="str">
        <f>IF($A476="","",IFERROR(VLOOKUP($A476,Sheet1!A:AN,18,0),""))</f>
        <v/>
      </c>
      <c r="S476" s="5" t="str">
        <f>IF($A476="","",IFERROR(VLOOKUP($A476,Sheet1!$A:$AN,19,0),""))</f>
        <v/>
      </c>
      <c r="T476" s="5" t="str">
        <f t="shared" si="39"/>
        <v/>
      </c>
      <c r="U476" s="5" t="str">
        <f>IF($A476="","",IFERROR(VLOOKUP($A476,Sheet1!$A:$AN,21,0),""))</f>
        <v/>
      </c>
      <c r="V476" s="5" t="str">
        <f>IF($A476="","",IFERROR(SUBSTITUTE(VLOOKUP($A476,Sheet1!$A:$AN,22,0),"族",""),""))</f>
        <v/>
      </c>
      <c r="W476" s="5" t="str">
        <f>IF($A476="","",IFERROR(VLOOKUP($A476,Sheet1!$A:$AN,23,0),""))</f>
        <v/>
      </c>
      <c r="X476" s="5" t="str">
        <f>IF($A476="","",IFERROR(VLOOKUP($A476,Sheet1!$A:$AN,24,0),""))</f>
        <v/>
      </c>
      <c r="Y476" s="5" t="str">
        <f>IF($A476="","",IFERROR(VLOOKUP($A476,Sheet1!$A:$AN,25,0),""))</f>
        <v/>
      </c>
      <c r="AK476" s="5" t="str">
        <f>IF($A476="","",IFERROR(VLOOKUP($A476,Sheet1!$A:$AN,37,0),""))</f>
        <v/>
      </c>
      <c r="AL476" s="13" t="str">
        <f>IF($A476="","",IFERROR(VLOOKUP($A476,Sheet1!$A:$AN,38,0),""))</f>
        <v/>
      </c>
      <c r="AM476" s="13" t="str">
        <f>IF($A476="","",IFERROR(VLOOKUP($A476,Sheet1!$A:$AN,39,0),""))</f>
        <v/>
      </c>
      <c r="AN476" s="13" t="str">
        <f>IF($A476="","",IFERROR(VLOOKUP($A476,Sheet1!$A:$AN,40,0),""))</f>
        <v/>
      </c>
    </row>
    <row r="477" customHeight="1" spans="1:40">
      <c r="A477" s="5" t="str">
        <f>IF(Sheet1!$A477="","",Sheet1!$A477)</f>
        <v/>
      </c>
      <c r="B477" s="5" t="str">
        <f t="shared" si="35"/>
        <v/>
      </c>
      <c r="C477" s="5" t="str">
        <f>IF($A477="","",IFERROR(VLOOKUP($A477,Sheet1!$A:$AN,3,0),""))</f>
        <v/>
      </c>
      <c r="D477" s="5" t="str">
        <f t="shared" si="36"/>
        <v/>
      </c>
      <c r="I477" s="5" t="str">
        <f t="shared" si="37"/>
        <v/>
      </c>
      <c r="M477" s="5" t="str">
        <f t="shared" si="38"/>
        <v/>
      </c>
      <c r="R477" s="5" t="str">
        <f>IF($A477="","",IFERROR(VLOOKUP($A477,Sheet1!A:AN,18,0),""))</f>
        <v/>
      </c>
      <c r="S477" s="5" t="str">
        <f>IF($A477="","",IFERROR(VLOOKUP($A477,Sheet1!$A:$AN,19,0),""))</f>
        <v/>
      </c>
      <c r="T477" s="5" t="str">
        <f t="shared" si="39"/>
        <v/>
      </c>
      <c r="U477" s="5" t="str">
        <f>IF($A477="","",IFERROR(VLOOKUP($A477,Sheet1!$A:$AN,21,0),""))</f>
        <v/>
      </c>
      <c r="V477" s="5" t="str">
        <f>IF($A477="","",IFERROR(SUBSTITUTE(VLOOKUP($A477,Sheet1!$A:$AN,22,0),"族",""),""))</f>
        <v/>
      </c>
      <c r="W477" s="5" t="str">
        <f>IF($A477="","",IFERROR(VLOOKUP($A477,Sheet1!$A:$AN,23,0),""))</f>
        <v/>
      </c>
      <c r="X477" s="5" t="str">
        <f>IF($A477="","",IFERROR(VLOOKUP($A477,Sheet1!$A:$AN,24,0),""))</f>
        <v/>
      </c>
      <c r="Y477" s="5" t="str">
        <f>IF($A477="","",IFERROR(VLOOKUP($A477,Sheet1!$A:$AN,25,0),""))</f>
        <v/>
      </c>
      <c r="AK477" s="5" t="str">
        <f>IF($A477="","",IFERROR(VLOOKUP($A477,Sheet1!$A:$AN,37,0),""))</f>
        <v/>
      </c>
      <c r="AL477" s="13" t="str">
        <f>IF($A477="","",IFERROR(VLOOKUP($A477,Sheet1!$A:$AN,38,0),""))</f>
        <v/>
      </c>
      <c r="AM477" s="13" t="str">
        <f>IF($A477="","",IFERROR(VLOOKUP($A477,Sheet1!$A:$AN,39,0),""))</f>
        <v/>
      </c>
      <c r="AN477" s="13" t="str">
        <f>IF($A477="","",IFERROR(VLOOKUP($A477,Sheet1!$A:$AN,40,0),""))</f>
        <v/>
      </c>
    </row>
    <row r="478" customHeight="1" spans="1:40">
      <c r="A478" s="5" t="str">
        <f>IF(Sheet1!$A478="","",Sheet1!$A478)</f>
        <v/>
      </c>
      <c r="B478" s="5" t="str">
        <f t="shared" si="35"/>
        <v/>
      </c>
      <c r="C478" s="5" t="str">
        <f>IF($A478="","",IFERROR(VLOOKUP($A478,Sheet1!$A:$AN,3,0),""))</f>
        <v/>
      </c>
      <c r="D478" s="5" t="str">
        <f t="shared" si="36"/>
        <v/>
      </c>
      <c r="I478" s="5" t="str">
        <f t="shared" si="37"/>
        <v/>
      </c>
      <c r="M478" s="5" t="str">
        <f t="shared" si="38"/>
        <v/>
      </c>
      <c r="R478" s="5" t="str">
        <f>IF($A478="","",IFERROR(VLOOKUP($A478,Sheet1!A:AN,18,0),""))</f>
        <v/>
      </c>
      <c r="S478" s="5" t="str">
        <f>IF($A478="","",IFERROR(VLOOKUP($A478,Sheet1!$A:$AN,19,0),""))</f>
        <v/>
      </c>
      <c r="T478" s="5" t="str">
        <f t="shared" si="39"/>
        <v/>
      </c>
      <c r="U478" s="5" t="str">
        <f>IF($A478="","",IFERROR(VLOOKUP($A478,Sheet1!$A:$AN,21,0),""))</f>
        <v/>
      </c>
      <c r="V478" s="5" t="str">
        <f>IF($A478="","",IFERROR(SUBSTITUTE(VLOOKUP($A478,Sheet1!$A:$AN,22,0),"族",""),""))</f>
        <v/>
      </c>
      <c r="W478" s="5" t="str">
        <f>IF($A478="","",IFERROR(VLOOKUP($A478,Sheet1!$A:$AN,23,0),""))</f>
        <v/>
      </c>
      <c r="X478" s="5" t="str">
        <f>IF($A478="","",IFERROR(VLOOKUP($A478,Sheet1!$A:$AN,24,0),""))</f>
        <v/>
      </c>
      <c r="Y478" s="5" t="str">
        <f>IF($A478="","",IFERROR(VLOOKUP($A478,Sheet1!$A:$AN,25,0),""))</f>
        <v/>
      </c>
      <c r="AK478" s="5" t="str">
        <f>IF($A478="","",IFERROR(VLOOKUP($A478,Sheet1!$A:$AN,37,0),""))</f>
        <v/>
      </c>
      <c r="AL478" s="13" t="str">
        <f>IF($A478="","",IFERROR(VLOOKUP($A478,Sheet1!$A:$AN,38,0),""))</f>
        <v/>
      </c>
      <c r="AM478" s="13" t="str">
        <f>IF($A478="","",IFERROR(VLOOKUP($A478,Sheet1!$A:$AN,39,0),""))</f>
        <v/>
      </c>
      <c r="AN478" s="13" t="str">
        <f>IF($A478="","",IFERROR(VLOOKUP($A478,Sheet1!$A:$AN,40,0),""))</f>
        <v/>
      </c>
    </row>
    <row r="479" customHeight="1" spans="1:40">
      <c r="A479" s="5" t="str">
        <f>IF(Sheet1!$A479="","",Sheet1!$A479)</f>
        <v/>
      </c>
      <c r="B479" s="5" t="str">
        <f t="shared" si="35"/>
        <v/>
      </c>
      <c r="C479" s="5" t="str">
        <f>IF($A479="","",IFERROR(VLOOKUP($A479,Sheet1!$A:$AN,3,0),""))</f>
        <v/>
      </c>
      <c r="D479" s="5" t="str">
        <f t="shared" si="36"/>
        <v/>
      </c>
      <c r="I479" s="5" t="str">
        <f t="shared" si="37"/>
        <v/>
      </c>
      <c r="M479" s="5" t="str">
        <f t="shared" si="38"/>
        <v/>
      </c>
      <c r="R479" s="5" t="str">
        <f>IF($A479="","",IFERROR(VLOOKUP($A479,Sheet1!A:AN,18,0),""))</f>
        <v/>
      </c>
      <c r="S479" s="5" t="str">
        <f>IF($A479="","",IFERROR(VLOOKUP($A479,Sheet1!$A:$AN,19,0),""))</f>
        <v/>
      </c>
      <c r="T479" s="5" t="str">
        <f t="shared" si="39"/>
        <v/>
      </c>
      <c r="U479" s="5" t="str">
        <f>IF($A479="","",IFERROR(VLOOKUP($A479,Sheet1!$A:$AN,21,0),""))</f>
        <v/>
      </c>
      <c r="V479" s="5" t="str">
        <f>IF($A479="","",IFERROR(SUBSTITUTE(VLOOKUP($A479,Sheet1!$A:$AN,22,0),"族",""),""))</f>
        <v/>
      </c>
      <c r="W479" s="5" t="str">
        <f>IF($A479="","",IFERROR(VLOOKUP($A479,Sheet1!$A:$AN,23,0),""))</f>
        <v/>
      </c>
      <c r="X479" s="5" t="str">
        <f>IF($A479="","",IFERROR(VLOOKUP($A479,Sheet1!$A:$AN,24,0),""))</f>
        <v/>
      </c>
      <c r="Y479" s="5" t="str">
        <f>IF($A479="","",IFERROR(VLOOKUP($A479,Sheet1!$A:$AN,25,0),""))</f>
        <v/>
      </c>
      <c r="AK479" s="5" t="str">
        <f>IF($A479="","",IFERROR(VLOOKUP($A479,Sheet1!$A:$AN,37,0),""))</f>
        <v/>
      </c>
      <c r="AL479" s="13" t="str">
        <f>IF($A479="","",IFERROR(VLOOKUP($A479,Sheet1!$A:$AN,38,0),""))</f>
        <v/>
      </c>
      <c r="AM479" s="13" t="str">
        <f>IF($A479="","",IFERROR(VLOOKUP($A479,Sheet1!$A:$AN,39,0),""))</f>
        <v/>
      </c>
      <c r="AN479" s="13" t="str">
        <f>IF($A479="","",IFERROR(VLOOKUP($A479,Sheet1!$A:$AN,40,0),""))</f>
        <v/>
      </c>
    </row>
    <row r="480" customHeight="1" spans="1:40">
      <c r="A480" s="5" t="str">
        <f>IF(Sheet1!$A480="","",Sheet1!$A480)</f>
        <v/>
      </c>
      <c r="B480" s="5" t="str">
        <f t="shared" si="35"/>
        <v/>
      </c>
      <c r="C480" s="5" t="str">
        <f>IF($A480="","",IFERROR(VLOOKUP($A480,Sheet1!$A:$AN,3,0),""))</f>
        <v/>
      </c>
      <c r="D480" s="5" t="str">
        <f t="shared" si="36"/>
        <v/>
      </c>
      <c r="I480" s="5" t="str">
        <f t="shared" si="37"/>
        <v/>
      </c>
      <c r="M480" s="5" t="str">
        <f t="shared" si="38"/>
        <v/>
      </c>
      <c r="R480" s="5" t="str">
        <f>IF($A480="","",IFERROR(VLOOKUP($A480,Sheet1!A:AN,18,0),""))</f>
        <v/>
      </c>
      <c r="S480" s="5" t="str">
        <f>IF($A480="","",IFERROR(VLOOKUP($A480,Sheet1!$A:$AN,19,0),""))</f>
        <v/>
      </c>
      <c r="T480" s="5" t="str">
        <f t="shared" si="39"/>
        <v/>
      </c>
      <c r="U480" s="5" t="str">
        <f>IF($A480="","",IFERROR(VLOOKUP($A480,Sheet1!$A:$AN,21,0),""))</f>
        <v/>
      </c>
      <c r="V480" s="5" t="str">
        <f>IF($A480="","",IFERROR(SUBSTITUTE(VLOOKUP($A480,Sheet1!$A:$AN,22,0),"族",""),""))</f>
        <v/>
      </c>
      <c r="W480" s="5" t="str">
        <f>IF($A480="","",IFERROR(VLOOKUP($A480,Sheet1!$A:$AN,23,0),""))</f>
        <v/>
      </c>
      <c r="X480" s="5" t="str">
        <f>IF($A480="","",IFERROR(VLOOKUP($A480,Sheet1!$A:$AN,24,0),""))</f>
        <v/>
      </c>
      <c r="Y480" s="5" t="str">
        <f>IF($A480="","",IFERROR(VLOOKUP($A480,Sheet1!$A:$AN,25,0),""))</f>
        <v/>
      </c>
      <c r="AK480" s="5" t="str">
        <f>IF($A480="","",IFERROR(VLOOKUP($A480,Sheet1!$A:$AN,37,0),""))</f>
        <v/>
      </c>
      <c r="AL480" s="13" t="str">
        <f>IF($A480="","",IFERROR(VLOOKUP($A480,Sheet1!$A:$AN,38,0),""))</f>
        <v/>
      </c>
      <c r="AM480" s="13" t="str">
        <f>IF($A480="","",IFERROR(VLOOKUP($A480,Sheet1!$A:$AN,39,0),""))</f>
        <v/>
      </c>
      <c r="AN480" s="13" t="str">
        <f>IF($A480="","",IFERROR(VLOOKUP($A480,Sheet1!$A:$AN,40,0),""))</f>
        <v/>
      </c>
    </row>
    <row r="481" customHeight="1" spans="1:40">
      <c r="A481" s="5" t="str">
        <f>IF(Sheet1!$A481="","",Sheet1!$A481)</f>
        <v/>
      </c>
      <c r="B481" s="5" t="str">
        <f t="shared" si="35"/>
        <v/>
      </c>
      <c r="C481" s="5" t="str">
        <f>IF($A481="","",IFERROR(VLOOKUP($A481,Sheet1!$A:$AN,3,0),""))</f>
        <v/>
      </c>
      <c r="D481" s="5" t="str">
        <f t="shared" si="36"/>
        <v/>
      </c>
      <c r="I481" s="5" t="str">
        <f t="shared" si="37"/>
        <v/>
      </c>
      <c r="M481" s="5" t="str">
        <f t="shared" si="38"/>
        <v/>
      </c>
      <c r="R481" s="5" t="str">
        <f>IF($A481="","",IFERROR(VLOOKUP($A481,Sheet1!A:AN,18,0),""))</f>
        <v/>
      </c>
      <c r="S481" s="5" t="str">
        <f>IF($A481="","",IFERROR(VLOOKUP($A481,Sheet1!$A:$AN,19,0),""))</f>
        <v/>
      </c>
      <c r="T481" s="5" t="str">
        <f t="shared" si="39"/>
        <v/>
      </c>
      <c r="U481" s="5" t="str">
        <f>IF($A481="","",IFERROR(VLOOKUP($A481,Sheet1!$A:$AN,21,0),""))</f>
        <v/>
      </c>
      <c r="V481" s="5" t="str">
        <f>IF($A481="","",IFERROR(SUBSTITUTE(VLOOKUP($A481,Sheet1!$A:$AN,22,0),"族",""),""))</f>
        <v/>
      </c>
      <c r="W481" s="5" t="str">
        <f>IF($A481="","",IFERROR(VLOOKUP($A481,Sheet1!$A:$AN,23,0),""))</f>
        <v/>
      </c>
      <c r="X481" s="5" t="str">
        <f>IF($A481="","",IFERROR(VLOOKUP($A481,Sheet1!$A:$AN,24,0),""))</f>
        <v/>
      </c>
      <c r="Y481" s="5" t="str">
        <f>IF($A481="","",IFERROR(VLOOKUP($A481,Sheet1!$A:$AN,25,0),""))</f>
        <v/>
      </c>
      <c r="AK481" s="5" t="str">
        <f>IF($A481="","",IFERROR(VLOOKUP($A481,Sheet1!$A:$AN,37,0),""))</f>
        <v/>
      </c>
      <c r="AL481" s="13" t="str">
        <f>IF($A481="","",IFERROR(VLOOKUP($A481,Sheet1!$A:$AN,38,0),""))</f>
        <v/>
      </c>
      <c r="AM481" s="13" t="str">
        <f>IF($A481="","",IFERROR(VLOOKUP($A481,Sheet1!$A:$AN,39,0),""))</f>
        <v/>
      </c>
      <c r="AN481" s="13" t="str">
        <f>IF($A481="","",IFERROR(VLOOKUP($A481,Sheet1!$A:$AN,40,0),""))</f>
        <v/>
      </c>
    </row>
    <row r="482" customHeight="1" spans="1:40">
      <c r="A482" s="5" t="str">
        <f>IF(Sheet1!$A482="","",Sheet1!$A482)</f>
        <v/>
      </c>
      <c r="B482" s="5" t="str">
        <f t="shared" si="35"/>
        <v/>
      </c>
      <c r="C482" s="5" t="str">
        <f>IF($A482="","",IFERROR(VLOOKUP($A482,Sheet1!$A:$AN,3,0),""))</f>
        <v/>
      </c>
      <c r="D482" s="5" t="str">
        <f t="shared" si="36"/>
        <v/>
      </c>
      <c r="I482" s="5" t="str">
        <f t="shared" si="37"/>
        <v/>
      </c>
      <c r="M482" s="5" t="str">
        <f t="shared" si="38"/>
        <v/>
      </c>
      <c r="R482" s="5" t="str">
        <f>IF($A482="","",IFERROR(VLOOKUP($A482,Sheet1!A:AN,18,0),""))</f>
        <v/>
      </c>
      <c r="S482" s="5" t="str">
        <f>IF($A482="","",IFERROR(VLOOKUP($A482,Sheet1!$A:$AN,19,0),""))</f>
        <v/>
      </c>
      <c r="T482" s="5" t="str">
        <f t="shared" si="39"/>
        <v/>
      </c>
      <c r="U482" s="5" t="str">
        <f>IF($A482="","",IFERROR(VLOOKUP($A482,Sheet1!$A:$AN,21,0),""))</f>
        <v/>
      </c>
      <c r="V482" s="5" t="str">
        <f>IF($A482="","",IFERROR(SUBSTITUTE(VLOOKUP($A482,Sheet1!$A:$AN,22,0),"族",""),""))</f>
        <v/>
      </c>
      <c r="W482" s="5" t="str">
        <f>IF($A482="","",IFERROR(VLOOKUP($A482,Sheet1!$A:$AN,23,0),""))</f>
        <v/>
      </c>
      <c r="X482" s="5" t="str">
        <f>IF($A482="","",IFERROR(VLOOKUP($A482,Sheet1!$A:$AN,24,0),""))</f>
        <v/>
      </c>
      <c r="Y482" s="5" t="str">
        <f>IF($A482="","",IFERROR(VLOOKUP($A482,Sheet1!$A:$AN,25,0),""))</f>
        <v/>
      </c>
      <c r="AK482" s="5" t="str">
        <f>IF($A482="","",IFERROR(VLOOKUP($A482,Sheet1!$A:$AN,37,0),""))</f>
        <v/>
      </c>
      <c r="AL482" s="13" t="str">
        <f>IF($A482="","",IFERROR(VLOOKUP($A482,Sheet1!$A:$AN,38,0),""))</f>
        <v/>
      </c>
      <c r="AM482" s="13" t="str">
        <f>IF($A482="","",IFERROR(VLOOKUP($A482,Sheet1!$A:$AN,39,0),""))</f>
        <v/>
      </c>
      <c r="AN482" s="13" t="str">
        <f>IF($A482="","",IFERROR(VLOOKUP($A482,Sheet1!$A:$AN,40,0),""))</f>
        <v/>
      </c>
    </row>
    <row r="483" customHeight="1" spans="1:40">
      <c r="A483" s="5" t="str">
        <f>IF(Sheet1!$A483="","",Sheet1!$A483)</f>
        <v/>
      </c>
      <c r="B483" s="5" t="str">
        <f t="shared" si="35"/>
        <v/>
      </c>
      <c r="C483" s="5" t="str">
        <f>IF($A483="","",IFERROR(VLOOKUP($A483,Sheet1!$A:$AN,3,0),""))</f>
        <v/>
      </c>
      <c r="D483" s="5" t="str">
        <f t="shared" si="36"/>
        <v/>
      </c>
      <c r="I483" s="5" t="str">
        <f t="shared" si="37"/>
        <v/>
      </c>
      <c r="M483" s="5" t="str">
        <f t="shared" si="38"/>
        <v/>
      </c>
      <c r="R483" s="5" t="str">
        <f>IF($A483="","",IFERROR(VLOOKUP($A483,Sheet1!A:AN,18,0),""))</f>
        <v/>
      </c>
      <c r="S483" s="5" t="str">
        <f>IF($A483="","",IFERROR(VLOOKUP($A483,Sheet1!$A:$AN,19,0),""))</f>
        <v/>
      </c>
      <c r="T483" s="5" t="str">
        <f t="shared" si="39"/>
        <v/>
      </c>
      <c r="U483" s="5" t="str">
        <f>IF($A483="","",IFERROR(VLOOKUP($A483,Sheet1!$A:$AN,21,0),""))</f>
        <v/>
      </c>
      <c r="V483" s="5" t="str">
        <f>IF($A483="","",IFERROR(SUBSTITUTE(VLOOKUP($A483,Sheet1!$A:$AN,22,0),"族",""),""))</f>
        <v/>
      </c>
      <c r="W483" s="5" t="str">
        <f>IF($A483="","",IFERROR(VLOOKUP($A483,Sheet1!$A:$AN,23,0),""))</f>
        <v/>
      </c>
      <c r="X483" s="5" t="str">
        <f>IF($A483="","",IFERROR(VLOOKUP($A483,Sheet1!$A:$AN,24,0),""))</f>
        <v/>
      </c>
      <c r="Y483" s="5" t="str">
        <f>IF($A483="","",IFERROR(VLOOKUP($A483,Sheet1!$A:$AN,25,0),""))</f>
        <v/>
      </c>
      <c r="AK483" s="5" t="str">
        <f>IF($A483="","",IFERROR(VLOOKUP($A483,Sheet1!$A:$AN,37,0),""))</f>
        <v/>
      </c>
      <c r="AL483" s="13" t="str">
        <f>IF($A483="","",IFERROR(VLOOKUP($A483,Sheet1!$A:$AN,38,0),""))</f>
        <v/>
      </c>
      <c r="AM483" s="13" t="str">
        <f>IF($A483="","",IFERROR(VLOOKUP($A483,Sheet1!$A:$AN,39,0),""))</f>
        <v/>
      </c>
      <c r="AN483" s="13" t="str">
        <f>IF($A483="","",IFERROR(VLOOKUP($A483,Sheet1!$A:$AN,40,0),""))</f>
        <v/>
      </c>
    </row>
    <row r="484" customHeight="1" spans="1:40">
      <c r="A484" s="5" t="str">
        <f>IF(Sheet1!$A484="","",Sheet1!$A484)</f>
        <v/>
      </c>
      <c r="B484" s="5" t="str">
        <f t="shared" si="35"/>
        <v/>
      </c>
      <c r="C484" s="5" t="str">
        <f>IF($A484="","",IFERROR(VLOOKUP($A484,Sheet1!$A:$AN,3,0),""))</f>
        <v/>
      </c>
      <c r="D484" s="5" t="str">
        <f t="shared" si="36"/>
        <v/>
      </c>
      <c r="I484" s="5" t="str">
        <f t="shared" si="37"/>
        <v/>
      </c>
      <c r="M484" s="5" t="str">
        <f t="shared" si="38"/>
        <v/>
      </c>
      <c r="R484" s="5" t="str">
        <f>IF($A484="","",IFERROR(VLOOKUP($A484,Sheet1!A:AN,18,0),""))</f>
        <v/>
      </c>
      <c r="S484" s="5" t="str">
        <f>IF($A484="","",IFERROR(VLOOKUP($A484,Sheet1!$A:$AN,19,0),""))</f>
        <v/>
      </c>
      <c r="T484" s="5" t="str">
        <f t="shared" si="39"/>
        <v/>
      </c>
      <c r="U484" s="5" t="str">
        <f>IF($A484="","",IFERROR(VLOOKUP($A484,Sheet1!$A:$AN,21,0),""))</f>
        <v/>
      </c>
      <c r="V484" s="5" t="str">
        <f>IF($A484="","",IFERROR(SUBSTITUTE(VLOOKUP($A484,Sheet1!$A:$AN,22,0),"族",""),""))</f>
        <v/>
      </c>
      <c r="W484" s="5" t="str">
        <f>IF($A484="","",IFERROR(VLOOKUP($A484,Sheet1!$A:$AN,23,0),""))</f>
        <v/>
      </c>
      <c r="X484" s="5" t="str">
        <f>IF($A484="","",IFERROR(VLOOKUP($A484,Sheet1!$A:$AN,24,0),""))</f>
        <v/>
      </c>
      <c r="Y484" s="5" t="str">
        <f>IF($A484="","",IFERROR(VLOOKUP($A484,Sheet1!$A:$AN,25,0),""))</f>
        <v/>
      </c>
      <c r="AK484" s="5" t="str">
        <f>IF($A484="","",IFERROR(VLOOKUP($A484,Sheet1!$A:$AN,37,0),""))</f>
        <v/>
      </c>
      <c r="AL484" s="13" t="str">
        <f>IF($A484="","",IFERROR(VLOOKUP($A484,Sheet1!$A:$AN,38,0),""))</f>
        <v/>
      </c>
      <c r="AM484" s="13" t="str">
        <f>IF($A484="","",IFERROR(VLOOKUP($A484,Sheet1!$A:$AN,39,0),""))</f>
        <v/>
      </c>
      <c r="AN484" s="13" t="str">
        <f>IF($A484="","",IFERROR(VLOOKUP($A484,Sheet1!$A:$AN,40,0),""))</f>
        <v/>
      </c>
    </row>
    <row r="485" customHeight="1" spans="1:40">
      <c r="A485" s="5" t="str">
        <f>IF(Sheet1!$A485="","",Sheet1!$A485)</f>
        <v/>
      </c>
      <c r="B485" s="5" t="str">
        <f t="shared" si="35"/>
        <v/>
      </c>
      <c r="C485" s="5" t="str">
        <f>IF($A485="","",IFERROR(VLOOKUP($A485,Sheet1!$A:$AN,3,0),""))</f>
        <v/>
      </c>
      <c r="D485" s="5" t="str">
        <f t="shared" si="36"/>
        <v/>
      </c>
      <c r="I485" s="5" t="str">
        <f t="shared" si="37"/>
        <v/>
      </c>
      <c r="M485" s="5" t="str">
        <f t="shared" si="38"/>
        <v/>
      </c>
      <c r="R485" s="5" t="str">
        <f>IF($A485="","",IFERROR(VLOOKUP($A485,Sheet1!A:AN,18,0),""))</f>
        <v/>
      </c>
      <c r="S485" s="5" t="str">
        <f>IF($A485="","",IFERROR(VLOOKUP($A485,Sheet1!$A:$AN,19,0),""))</f>
        <v/>
      </c>
      <c r="T485" s="5" t="str">
        <f t="shared" si="39"/>
        <v/>
      </c>
      <c r="U485" s="5" t="str">
        <f>IF($A485="","",IFERROR(VLOOKUP($A485,Sheet1!$A:$AN,21,0),""))</f>
        <v/>
      </c>
      <c r="V485" s="5" t="str">
        <f>IF($A485="","",IFERROR(SUBSTITUTE(VLOOKUP($A485,Sheet1!$A:$AN,22,0),"族",""),""))</f>
        <v/>
      </c>
      <c r="W485" s="5" t="str">
        <f>IF($A485="","",IFERROR(VLOOKUP($A485,Sheet1!$A:$AN,23,0),""))</f>
        <v/>
      </c>
      <c r="X485" s="5" t="str">
        <f>IF($A485="","",IFERROR(VLOOKUP($A485,Sheet1!$A:$AN,24,0),""))</f>
        <v/>
      </c>
      <c r="Y485" s="5" t="str">
        <f>IF($A485="","",IFERROR(VLOOKUP($A485,Sheet1!$A:$AN,25,0),""))</f>
        <v/>
      </c>
      <c r="AK485" s="5" t="str">
        <f>IF($A485="","",IFERROR(VLOOKUP($A485,Sheet1!$A:$AN,37,0),""))</f>
        <v/>
      </c>
      <c r="AL485" s="13" t="str">
        <f>IF($A485="","",IFERROR(VLOOKUP($A485,Sheet1!$A:$AN,38,0),""))</f>
        <v/>
      </c>
      <c r="AM485" s="13" t="str">
        <f>IF($A485="","",IFERROR(VLOOKUP($A485,Sheet1!$A:$AN,39,0),""))</f>
        <v/>
      </c>
      <c r="AN485" s="13" t="str">
        <f>IF($A485="","",IFERROR(VLOOKUP($A485,Sheet1!$A:$AN,40,0),""))</f>
        <v/>
      </c>
    </row>
    <row r="486" customHeight="1" spans="1:40">
      <c r="A486" s="5" t="str">
        <f>IF(Sheet1!$A486="","",Sheet1!$A486)</f>
        <v/>
      </c>
      <c r="B486" s="5" t="str">
        <f t="shared" si="35"/>
        <v/>
      </c>
      <c r="C486" s="5" t="str">
        <f>IF($A486="","",IFERROR(VLOOKUP($A486,Sheet1!$A:$AN,3,0),""))</f>
        <v/>
      </c>
      <c r="D486" s="5" t="str">
        <f t="shared" si="36"/>
        <v/>
      </c>
      <c r="I486" s="5" t="str">
        <f t="shared" si="37"/>
        <v/>
      </c>
      <c r="M486" s="5" t="str">
        <f t="shared" si="38"/>
        <v/>
      </c>
      <c r="R486" s="5" t="str">
        <f>IF($A486="","",IFERROR(VLOOKUP($A486,Sheet1!A:AN,18,0),""))</f>
        <v/>
      </c>
      <c r="S486" s="5" t="str">
        <f>IF($A486="","",IFERROR(VLOOKUP($A486,Sheet1!$A:$AN,19,0),""))</f>
        <v/>
      </c>
      <c r="T486" s="5" t="str">
        <f t="shared" si="39"/>
        <v/>
      </c>
      <c r="U486" s="5" t="str">
        <f>IF($A486="","",IFERROR(VLOOKUP($A486,Sheet1!$A:$AN,21,0),""))</f>
        <v/>
      </c>
      <c r="V486" s="5" t="str">
        <f>IF($A486="","",IFERROR(SUBSTITUTE(VLOOKUP($A486,Sheet1!$A:$AN,22,0),"族",""),""))</f>
        <v/>
      </c>
      <c r="W486" s="5" t="str">
        <f>IF($A486="","",IFERROR(VLOOKUP($A486,Sheet1!$A:$AN,23,0),""))</f>
        <v/>
      </c>
      <c r="X486" s="5" t="str">
        <f>IF($A486="","",IFERROR(VLOOKUP($A486,Sheet1!$A:$AN,24,0),""))</f>
        <v/>
      </c>
      <c r="Y486" s="5" t="str">
        <f>IF($A486="","",IFERROR(VLOOKUP($A486,Sheet1!$A:$AN,25,0),""))</f>
        <v/>
      </c>
      <c r="AK486" s="5" t="str">
        <f>IF($A486="","",IFERROR(VLOOKUP($A486,Sheet1!$A:$AN,37,0),""))</f>
        <v/>
      </c>
      <c r="AL486" s="13" t="str">
        <f>IF($A486="","",IFERROR(VLOOKUP($A486,Sheet1!$A:$AN,38,0),""))</f>
        <v/>
      </c>
      <c r="AM486" s="13" t="str">
        <f>IF($A486="","",IFERROR(VLOOKUP($A486,Sheet1!$A:$AN,39,0),""))</f>
        <v/>
      </c>
      <c r="AN486" s="13" t="str">
        <f>IF($A486="","",IFERROR(VLOOKUP($A486,Sheet1!$A:$AN,40,0),""))</f>
        <v/>
      </c>
    </row>
    <row r="487" customHeight="1" spans="1:40">
      <c r="A487" s="5" t="str">
        <f>IF(Sheet1!$A487="","",Sheet1!$A487)</f>
        <v/>
      </c>
      <c r="B487" s="5" t="str">
        <f t="shared" si="35"/>
        <v/>
      </c>
      <c r="C487" s="5" t="str">
        <f>IF($A487="","",IFERROR(VLOOKUP($A487,Sheet1!$A:$AN,3,0),""))</f>
        <v/>
      </c>
      <c r="D487" s="5" t="str">
        <f t="shared" si="36"/>
        <v/>
      </c>
      <c r="I487" s="5" t="str">
        <f t="shared" si="37"/>
        <v/>
      </c>
      <c r="M487" s="5" t="str">
        <f t="shared" si="38"/>
        <v/>
      </c>
      <c r="R487" s="5" t="str">
        <f>IF($A487="","",IFERROR(VLOOKUP($A487,Sheet1!A:AN,18,0),""))</f>
        <v/>
      </c>
      <c r="S487" s="5" t="str">
        <f>IF($A487="","",IFERROR(VLOOKUP($A487,Sheet1!$A:$AN,19,0),""))</f>
        <v/>
      </c>
      <c r="T487" s="5" t="str">
        <f t="shared" si="39"/>
        <v/>
      </c>
      <c r="U487" s="5" t="str">
        <f>IF($A487="","",IFERROR(VLOOKUP($A487,Sheet1!$A:$AN,21,0),""))</f>
        <v/>
      </c>
      <c r="V487" s="5" t="str">
        <f>IF($A487="","",IFERROR(SUBSTITUTE(VLOOKUP($A487,Sheet1!$A:$AN,22,0),"族",""),""))</f>
        <v/>
      </c>
      <c r="W487" s="5" t="str">
        <f>IF($A487="","",IFERROR(VLOOKUP($A487,Sheet1!$A:$AN,23,0),""))</f>
        <v/>
      </c>
      <c r="X487" s="5" t="str">
        <f>IF($A487="","",IFERROR(VLOOKUP($A487,Sheet1!$A:$AN,24,0),""))</f>
        <v/>
      </c>
      <c r="Y487" s="5" t="str">
        <f>IF($A487="","",IFERROR(VLOOKUP($A487,Sheet1!$A:$AN,25,0),""))</f>
        <v/>
      </c>
      <c r="AK487" s="5" t="str">
        <f>IF($A487="","",IFERROR(VLOOKUP($A487,Sheet1!$A:$AN,37,0),""))</f>
        <v/>
      </c>
      <c r="AL487" s="13" t="str">
        <f>IF($A487="","",IFERROR(VLOOKUP($A487,Sheet1!$A:$AN,38,0),""))</f>
        <v/>
      </c>
      <c r="AM487" s="13" t="str">
        <f>IF($A487="","",IFERROR(VLOOKUP($A487,Sheet1!$A:$AN,39,0),""))</f>
        <v/>
      </c>
      <c r="AN487" s="13" t="str">
        <f>IF($A487="","",IFERROR(VLOOKUP($A487,Sheet1!$A:$AN,40,0),""))</f>
        <v/>
      </c>
    </row>
    <row r="488" customHeight="1" spans="1:40">
      <c r="A488" s="5" t="str">
        <f>IF(Sheet1!$A488="","",Sheet1!$A488)</f>
        <v/>
      </c>
      <c r="B488" s="5" t="str">
        <f t="shared" si="35"/>
        <v/>
      </c>
      <c r="C488" s="5" t="str">
        <f>IF($A488="","",IFERROR(VLOOKUP($A488,Sheet1!$A:$AN,3,0),""))</f>
        <v/>
      </c>
      <c r="D488" s="5" t="str">
        <f t="shared" si="36"/>
        <v/>
      </c>
      <c r="I488" s="5" t="str">
        <f t="shared" si="37"/>
        <v/>
      </c>
      <c r="M488" s="5" t="str">
        <f t="shared" si="38"/>
        <v/>
      </c>
      <c r="R488" s="5" t="str">
        <f>IF($A488="","",IFERROR(VLOOKUP($A488,Sheet1!A:AN,18,0),""))</f>
        <v/>
      </c>
      <c r="S488" s="5" t="str">
        <f>IF($A488="","",IFERROR(VLOOKUP($A488,Sheet1!$A:$AN,19,0),""))</f>
        <v/>
      </c>
      <c r="T488" s="5" t="str">
        <f t="shared" si="39"/>
        <v/>
      </c>
      <c r="U488" s="5" t="str">
        <f>IF($A488="","",IFERROR(VLOOKUP($A488,Sheet1!$A:$AN,21,0),""))</f>
        <v/>
      </c>
      <c r="V488" s="5" t="str">
        <f>IF($A488="","",IFERROR(SUBSTITUTE(VLOOKUP($A488,Sheet1!$A:$AN,22,0),"族",""),""))</f>
        <v/>
      </c>
      <c r="W488" s="5" t="str">
        <f>IF($A488="","",IFERROR(VLOOKUP($A488,Sheet1!$A:$AN,23,0),""))</f>
        <v/>
      </c>
      <c r="X488" s="5" t="str">
        <f>IF($A488="","",IFERROR(VLOOKUP($A488,Sheet1!$A:$AN,24,0),""))</f>
        <v/>
      </c>
      <c r="Y488" s="5" t="str">
        <f>IF($A488="","",IFERROR(VLOOKUP($A488,Sheet1!$A:$AN,25,0),""))</f>
        <v/>
      </c>
      <c r="AK488" s="5" t="str">
        <f>IF($A488="","",IFERROR(VLOOKUP($A488,Sheet1!$A:$AN,37,0),""))</f>
        <v/>
      </c>
      <c r="AL488" s="13" t="str">
        <f>IF($A488="","",IFERROR(VLOOKUP($A488,Sheet1!$A:$AN,38,0),""))</f>
        <v/>
      </c>
      <c r="AM488" s="13" t="str">
        <f>IF($A488="","",IFERROR(VLOOKUP($A488,Sheet1!$A:$AN,39,0),""))</f>
        <v/>
      </c>
      <c r="AN488" s="13" t="str">
        <f>IF($A488="","",IFERROR(VLOOKUP($A488,Sheet1!$A:$AN,40,0),""))</f>
        <v/>
      </c>
    </row>
    <row r="489" customHeight="1" spans="1:40">
      <c r="A489" s="5" t="str">
        <f>IF(Sheet1!$A489="","",Sheet1!$A489)</f>
        <v/>
      </c>
      <c r="B489" s="5" t="str">
        <f t="shared" si="35"/>
        <v/>
      </c>
      <c r="C489" s="5" t="str">
        <f>IF($A489="","",IFERROR(VLOOKUP($A489,Sheet1!$A:$AN,3,0),""))</f>
        <v/>
      </c>
      <c r="D489" s="5" t="str">
        <f t="shared" si="36"/>
        <v/>
      </c>
      <c r="I489" s="5" t="str">
        <f t="shared" si="37"/>
        <v/>
      </c>
      <c r="M489" s="5" t="str">
        <f t="shared" si="38"/>
        <v/>
      </c>
      <c r="R489" s="5" t="str">
        <f>IF($A489="","",IFERROR(VLOOKUP($A489,Sheet1!A:AN,18,0),""))</f>
        <v/>
      </c>
      <c r="S489" s="5" t="str">
        <f>IF($A489="","",IFERROR(VLOOKUP($A489,Sheet1!$A:$AN,19,0),""))</f>
        <v/>
      </c>
      <c r="T489" s="5" t="str">
        <f t="shared" si="39"/>
        <v/>
      </c>
      <c r="U489" s="5" t="str">
        <f>IF($A489="","",IFERROR(VLOOKUP($A489,Sheet1!$A:$AN,21,0),""))</f>
        <v/>
      </c>
      <c r="V489" s="5" t="str">
        <f>IF($A489="","",IFERROR(SUBSTITUTE(VLOOKUP($A489,Sheet1!$A:$AN,22,0),"族",""),""))</f>
        <v/>
      </c>
      <c r="W489" s="5" t="str">
        <f>IF($A489="","",IFERROR(VLOOKUP($A489,Sheet1!$A:$AN,23,0),""))</f>
        <v/>
      </c>
      <c r="X489" s="5" t="str">
        <f>IF($A489="","",IFERROR(VLOOKUP($A489,Sheet1!$A:$AN,24,0),""))</f>
        <v/>
      </c>
      <c r="Y489" s="5" t="str">
        <f>IF($A489="","",IFERROR(VLOOKUP($A489,Sheet1!$A:$AN,25,0),""))</f>
        <v/>
      </c>
      <c r="AK489" s="5" t="str">
        <f>IF($A489="","",IFERROR(VLOOKUP($A489,Sheet1!$A:$AN,37,0),""))</f>
        <v/>
      </c>
      <c r="AL489" s="13" t="str">
        <f>IF($A489="","",IFERROR(VLOOKUP($A489,Sheet1!$A:$AN,38,0),""))</f>
        <v/>
      </c>
      <c r="AM489" s="13" t="str">
        <f>IF($A489="","",IFERROR(VLOOKUP($A489,Sheet1!$A:$AN,39,0),""))</f>
        <v/>
      </c>
      <c r="AN489" s="13" t="str">
        <f>IF($A489="","",IFERROR(VLOOKUP($A489,Sheet1!$A:$AN,40,0),""))</f>
        <v/>
      </c>
    </row>
    <row r="490" customHeight="1" spans="1:40">
      <c r="A490" s="5" t="str">
        <f>IF(Sheet1!$A490="","",Sheet1!$A490)</f>
        <v/>
      </c>
      <c r="B490" s="5" t="str">
        <f t="shared" si="35"/>
        <v/>
      </c>
      <c r="C490" s="5" t="str">
        <f>IF($A490="","",IFERROR(VLOOKUP($A490,Sheet1!$A:$AN,3,0),""))</f>
        <v/>
      </c>
      <c r="D490" s="5" t="str">
        <f t="shared" si="36"/>
        <v/>
      </c>
      <c r="I490" s="5" t="str">
        <f t="shared" si="37"/>
        <v/>
      </c>
      <c r="M490" s="5" t="str">
        <f t="shared" si="38"/>
        <v/>
      </c>
      <c r="R490" s="5" t="str">
        <f>IF($A490="","",IFERROR(VLOOKUP($A490,Sheet1!A:AN,18,0),""))</f>
        <v/>
      </c>
      <c r="S490" s="5" t="str">
        <f>IF($A490="","",IFERROR(VLOOKUP($A490,Sheet1!$A:$AN,19,0),""))</f>
        <v/>
      </c>
      <c r="T490" s="5" t="str">
        <f t="shared" si="39"/>
        <v/>
      </c>
      <c r="U490" s="5" t="str">
        <f>IF($A490="","",IFERROR(VLOOKUP($A490,Sheet1!$A:$AN,21,0),""))</f>
        <v/>
      </c>
      <c r="V490" s="5" t="str">
        <f>IF($A490="","",IFERROR(SUBSTITUTE(VLOOKUP($A490,Sheet1!$A:$AN,22,0),"族",""),""))</f>
        <v/>
      </c>
      <c r="W490" s="5" t="str">
        <f>IF($A490="","",IFERROR(VLOOKUP($A490,Sheet1!$A:$AN,23,0),""))</f>
        <v/>
      </c>
      <c r="X490" s="5" t="str">
        <f>IF($A490="","",IFERROR(VLOOKUP($A490,Sheet1!$A:$AN,24,0),""))</f>
        <v/>
      </c>
      <c r="Y490" s="5" t="str">
        <f>IF($A490="","",IFERROR(VLOOKUP($A490,Sheet1!$A:$AN,25,0),""))</f>
        <v/>
      </c>
      <c r="AK490" s="5" t="str">
        <f>IF($A490="","",IFERROR(VLOOKUP($A490,Sheet1!$A:$AN,37,0),""))</f>
        <v/>
      </c>
      <c r="AL490" s="13" t="str">
        <f>IF($A490="","",IFERROR(VLOOKUP($A490,Sheet1!$A:$AN,38,0),""))</f>
        <v/>
      </c>
      <c r="AM490" s="13" t="str">
        <f>IF($A490="","",IFERROR(VLOOKUP($A490,Sheet1!$A:$AN,39,0),""))</f>
        <v/>
      </c>
      <c r="AN490" s="13" t="str">
        <f>IF($A490="","",IFERROR(VLOOKUP($A490,Sheet1!$A:$AN,40,0),""))</f>
        <v/>
      </c>
    </row>
    <row r="491" customHeight="1" spans="1:40">
      <c r="A491" s="5" t="str">
        <f>IF(Sheet1!$A491="","",Sheet1!$A491)</f>
        <v/>
      </c>
      <c r="B491" s="5" t="str">
        <f t="shared" si="35"/>
        <v/>
      </c>
      <c r="C491" s="5" t="str">
        <f>IF($A491="","",IFERROR(VLOOKUP($A491,Sheet1!$A:$AN,3,0),""))</f>
        <v/>
      </c>
      <c r="D491" s="5" t="str">
        <f t="shared" si="36"/>
        <v/>
      </c>
      <c r="I491" s="5" t="str">
        <f t="shared" si="37"/>
        <v/>
      </c>
      <c r="M491" s="5" t="str">
        <f t="shared" si="38"/>
        <v/>
      </c>
      <c r="R491" s="5" t="str">
        <f>IF($A491="","",IFERROR(VLOOKUP($A491,Sheet1!A:AN,18,0),""))</f>
        <v/>
      </c>
      <c r="S491" s="5" t="str">
        <f>IF($A491="","",IFERROR(VLOOKUP($A491,Sheet1!$A:$AN,19,0),""))</f>
        <v/>
      </c>
      <c r="T491" s="5" t="str">
        <f t="shared" si="39"/>
        <v/>
      </c>
      <c r="U491" s="5" t="str">
        <f>IF($A491="","",IFERROR(VLOOKUP($A491,Sheet1!$A:$AN,21,0),""))</f>
        <v/>
      </c>
      <c r="V491" s="5" t="str">
        <f>IF($A491="","",IFERROR(SUBSTITUTE(VLOOKUP($A491,Sheet1!$A:$AN,22,0),"族",""),""))</f>
        <v/>
      </c>
      <c r="W491" s="5" t="str">
        <f>IF($A491="","",IFERROR(VLOOKUP($A491,Sheet1!$A:$AN,23,0),""))</f>
        <v/>
      </c>
      <c r="X491" s="5" t="str">
        <f>IF($A491="","",IFERROR(VLOOKUP($A491,Sheet1!$A:$AN,24,0),""))</f>
        <v/>
      </c>
      <c r="Y491" s="5" t="str">
        <f>IF($A491="","",IFERROR(VLOOKUP($A491,Sheet1!$A:$AN,25,0),""))</f>
        <v/>
      </c>
      <c r="AK491" s="5" t="str">
        <f>IF($A491="","",IFERROR(VLOOKUP($A491,Sheet1!$A:$AN,37,0),""))</f>
        <v/>
      </c>
      <c r="AL491" s="13" t="str">
        <f>IF($A491="","",IFERROR(VLOOKUP($A491,Sheet1!$A:$AN,38,0),""))</f>
        <v/>
      </c>
      <c r="AM491" s="13" t="str">
        <f>IF($A491="","",IFERROR(VLOOKUP($A491,Sheet1!$A:$AN,39,0),""))</f>
        <v/>
      </c>
      <c r="AN491" s="13" t="str">
        <f>IF($A491="","",IFERROR(VLOOKUP($A491,Sheet1!$A:$AN,40,0),""))</f>
        <v/>
      </c>
    </row>
    <row r="492" customHeight="1" spans="1:40">
      <c r="A492" s="5" t="str">
        <f>IF(Sheet1!$A492="","",Sheet1!$A492)</f>
        <v/>
      </c>
      <c r="B492" s="5" t="str">
        <f t="shared" si="35"/>
        <v/>
      </c>
      <c r="C492" s="5" t="str">
        <f>IF($A492="","",IFERROR(VLOOKUP($A492,Sheet1!$A:$AN,3,0),""))</f>
        <v/>
      </c>
      <c r="D492" s="5" t="str">
        <f t="shared" si="36"/>
        <v/>
      </c>
      <c r="I492" s="5" t="str">
        <f t="shared" si="37"/>
        <v/>
      </c>
      <c r="M492" s="5" t="str">
        <f t="shared" si="38"/>
        <v/>
      </c>
      <c r="R492" s="5" t="str">
        <f>IF($A492="","",IFERROR(VLOOKUP($A492,Sheet1!A:AN,18,0),""))</f>
        <v/>
      </c>
      <c r="S492" s="5" t="str">
        <f>IF($A492="","",IFERROR(VLOOKUP($A492,Sheet1!$A:$AN,19,0),""))</f>
        <v/>
      </c>
      <c r="T492" s="5" t="str">
        <f t="shared" si="39"/>
        <v/>
      </c>
      <c r="U492" s="5" t="str">
        <f>IF($A492="","",IFERROR(VLOOKUP($A492,Sheet1!$A:$AN,21,0),""))</f>
        <v/>
      </c>
      <c r="V492" s="5" t="str">
        <f>IF($A492="","",IFERROR(SUBSTITUTE(VLOOKUP($A492,Sheet1!$A:$AN,22,0),"族",""),""))</f>
        <v/>
      </c>
      <c r="W492" s="5" t="str">
        <f>IF($A492="","",IFERROR(VLOOKUP($A492,Sheet1!$A:$AN,23,0),""))</f>
        <v/>
      </c>
      <c r="X492" s="5" t="str">
        <f>IF($A492="","",IFERROR(VLOOKUP($A492,Sheet1!$A:$AN,24,0),""))</f>
        <v/>
      </c>
      <c r="Y492" s="5" t="str">
        <f>IF($A492="","",IFERROR(VLOOKUP($A492,Sheet1!$A:$AN,25,0),""))</f>
        <v/>
      </c>
      <c r="AK492" s="5" t="str">
        <f>IF($A492="","",IFERROR(VLOOKUP($A492,Sheet1!$A:$AN,37,0),""))</f>
        <v/>
      </c>
      <c r="AL492" s="13" t="str">
        <f>IF($A492="","",IFERROR(VLOOKUP($A492,Sheet1!$A:$AN,38,0),""))</f>
        <v/>
      </c>
      <c r="AM492" s="13" t="str">
        <f>IF($A492="","",IFERROR(VLOOKUP($A492,Sheet1!$A:$AN,39,0),""))</f>
        <v/>
      </c>
      <c r="AN492" s="13" t="str">
        <f>IF($A492="","",IFERROR(VLOOKUP($A492,Sheet1!$A:$AN,40,0),""))</f>
        <v/>
      </c>
    </row>
    <row r="493" customHeight="1" spans="1:40">
      <c r="A493" s="5" t="str">
        <f>IF(Sheet1!$A493="","",Sheet1!$A493)</f>
        <v/>
      </c>
      <c r="B493" s="5" t="str">
        <f t="shared" si="35"/>
        <v/>
      </c>
      <c r="C493" s="5" t="str">
        <f>IF($A493="","",IFERROR(VLOOKUP($A493,Sheet1!$A:$AN,3,0),""))</f>
        <v/>
      </c>
      <c r="D493" s="5" t="str">
        <f t="shared" si="36"/>
        <v/>
      </c>
      <c r="I493" s="5" t="str">
        <f t="shared" si="37"/>
        <v/>
      </c>
      <c r="M493" s="5" t="str">
        <f t="shared" si="38"/>
        <v/>
      </c>
      <c r="R493" s="5" t="str">
        <f>IF($A493="","",IFERROR(VLOOKUP($A493,Sheet1!A:AN,18,0),""))</f>
        <v/>
      </c>
      <c r="S493" s="5" t="str">
        <f>IF($A493="","",IFERROR(VLOOKUP($A493,Sheet1!$A:$AN,19,0),""))</f>
        <v/>
      </c>
      <c r="T493" s="5" t="str">
        <f t="shared" si="39"/>
        <v/>
      </c>
      <c r="U493" s="5" t="str">
        <f>IF($A493="","",IFERROR(VLOOKUP($A493,Sheet1!$A:$AN,21,0),""))</f>
        <v/>
      </c>
      <c r="V493" s="5" t="str">
        <f>IF($A493="","",IFERROR(SUBSTITUTE(VLOOKUP($A493,Sheet1!$A:$AN,22,0),"族",""),""))</f>
        <v/>
      </c>
      <c r="W493" s="5" t="str">
        <f>IF($A493="","",IFERROR(VLOOKUP($A493,Sheet1!$A:$AN,23,0),""))</f>
        <v/>
      </c>
      <c r="X493" s="5" t="str">
        <f>IF($A493="","",IFERROR(VLOOKUP($A493,Sheet1!$A:$AN,24,0),""))</f>
        <v/>
      </c>
      <c r="Y493" s="5" t="str">
        <f>IF($A493="","",IFERROR(VLOOKUP($A493,Sheet1!$A:$AN,25,0),""))</f>
        <v/>
      </c>
      <c r="AK493" s="5" t="str">
        <f>IF($A493="","",IFERROR(VLOOKUP($A493,Sheet1!$A:$AN,37,0),""))</f>
        <v/>
      </c>
      <c r="AL493" s="13" t="str">
        <f>IF($A493="","",IFERROR(VLOOKUP($A493,Sheet1!$A:$AN,38,0),""))</f>
        <v/>
      </c>
      <c r="AM493" s="13" t="str">
        <f>IF($A493="","",IFERROR(VLOOKUP($A493,Sheet1!$A:$AN,39,0),""))</f>
        <v/>
      </c>
      <c r="AN493" s="13" t="str">
        <f>IF($A493="","",IFERROR(VLOOKUP($A493,Sheet1!$A:$AN,40,0),""))</f>
        <v/>
      </c>
    </row>
    <row r="494" customHeight="1" spans="1:40">
      <c r="A494" s="5" t="str">
        <f>IF(Sheet1!$A494="","",Sheet1!$A494)</f>
        <v/>
      </c>
      <c r="B494" s="5" t="str">
        <f t="shared" si="35"/>
        <v/>
      </c>
      <c r="C494" s="5" t="str">
        <f>IF($A494="","",IFERROR(VLOOKUP($A494,Sheet1!$A:$AN,3,0),""))</f>
        <v/>
      </c>
      <c r="D494" s="5" t="str">
        <f t="shared" si="36"/>
        <v/>
      </c>
      <c r="I494" s="5" t="str">
        <f t="shared" si="37"/>
        <v/>
      </c>
      <c r="M494" s="5" t="str">
        <f t="shared" si="38"/>
        <v/>
      </c>
      <c r="R494" s="5" t="str">
        <f>IF($A494="","",IFERROR(VLOOKUP($A494,Sheet1!A:AN,18,0),""))</f>
        <v/>
      </c>
      <c r="S494" s="5" t="str">
        <f>IF($A494="","",IFERROR(VLOOKUP($A494,Sheet1!$A:$AN,19,0),""))</f>
        <v/>
      </c>
      <c r="T494" s="5" t="str">
        <f t="shared" si="39"/>
        <v/>
      </c>
      <c r="U494" s="5" t="str">
        <f>IF($A494="","",IFERROR(VLOOKUP($A494,Sheet1!$A:$AN,21,0),""))</f>
        <v/>
      </c>
      <c r="V494" s="5" t="str">
        <f>IF($A494="","",IFERROR(SUBSTITUTE(VLOOKUP($A494,Sheet1!$A:$AN,22,0),"族",""),""))</f>
        <v/>
      </c>
      <c r="W494" s="5" t="str">
        <f>IF($A494="","",IFERROR(VLOOKUP($A494,Sheet1!$A:$AN,23,0),""))</f>
        <v/>
      </c>
      <c r="X494" s="5" t="str">
        <f>IF($A494="","",IFERROR(VLOOKUP($A494,Sheet1!$A:$AN,24,0),""))</f>
        <v/>
      </c>
      <c r="Y494" s="5" t="str">
        <f>IF($A494="","",IFERROR(VLOOKUP($A494,Sheet1!$A:$AN,25,0),""))</f>
        <v/>
      </c>
      <c r="AK494" s="5" t="str">
        <f>IF($A494="","",IFERROR(VLOOKUP($A494,Sheet1!$A:$AN,37,0),""))</f>
        <v/>
      </c>
      <c r="AL494" s="13" t="str">
        <f>IF($A494="","",IFERROR(VLOOKUP($A494,Sheet1!$A:$AN,38,0),""))</f>
        <v/>
      </c>
      <c r="AM494" s="13" t="str">
        <f>IF($A494="","",IFERROR(VLOOKUP($A494,Sheet1!$A:$AN,39,0),""))</f>
        <v/>
      </c>
      <c r="AN494" s="13" t="str">
        <f>IF($A494="","",IFERROR(VLOOKUP($A494,Sheet1!$A:$AN,40,0),""))</f>
        <v/>
      </c>
    </row>
    <row r="495" customHeight="1" spans="1:40">
      <c r="A495" s="5" t="str">
        <f>IF(Sheet1!$A495="","",Sheet1!$A495)</f>
        <v/>
      </c>
      <c r="B495" s="5" t="str">
        <f t="shared" si="35"/>
        <v/>
      </c>
      <c r="C495" s="5" t="str">
        <f>IF($A495="","",IFERROR(VLOOKUP($A495,Sheet1!$A:$AN,3,0),""))</f>
        <v/>
      </c>
      <c r="D495" s="5" t="str">
        <f t="shared" si="36"/>
        <v/>
      </c>
      <c r="I495" s="5" t="str">
        <f t="shared" si="37"/>
        <v/>
      </c>
      <c r="M495" s="5" t="str">
        <f t="shared" si="38"/>
        <v/>
      </c>
      <c r="R495" s="5" t="str">
        <f>IF($A495="","",IFERROR(VLOOKUP($A495,Sheet1!A:AN,18,0),""))</f>
        <v/>
      </c>
      <c r="S495" s="5" t="str">
        <f>IF($A495="","",IFERROR(VLOOKUP($A495,Sheet1!$A:$AN,19,0),""))</f>
        <v/>
      </c>
      <c r="T495" s="5" t="str">
        <f t="shared" si="39"/>
        <v/>
      </c>
      <c r="U495" s="5" t="str">
        <f>IF($A495="","",IFERROR(VLOOKUP($A495,Sheet1!$A:$AN,21,0),""))</f>
        <v/>
      </c>
      <c r="V495" s="5" t="str">
        <f>IF($A495="","",IFERROR(SUBSTITUTE(VLOOKUP($A495,Sheet1!$A:$AN,22,0),"族",""),""))</f>
        <v/>
      </c>
      <c r="W495" s="5" t="str">
        <f>IF($A495="","",IFERROR(VLOOKUP($A495,Sheet1!$A:$AN,23,0),""))</f>
        <v/>
      </c>
      <c r="X495" s="5" t="str">
        <f>IF($A495="","",IFERROR(VLOOKUP($A495,Sheet1!$A:$AN,24,0),""))</f>
        <v/>
      </c>
      <c r="Y495" s="5" t="str">
        <f>IF($A495="","",IFERROR(VLOOKUP($A495,Sheet1!$A:$AN,25,0),""))</f>
        <v/>
      </c>
      <c r="AK495" s="5" t="str">
        <f>IF($A495="","",IFERROR(VLOOKUP($A495,Sheet1!$A:$AN,37,0),""))</f>
        <v/>
      </c>
      <c r="AL495" s="13" t="str">
        <f>IF($A495="","",IFERROR(VLOOKUP($A495,Sheet1!$A:$AN,38,0),""))</f>
        <v/>
      </c>
      <c r="AM495" s="13" t="str">
        <f>IF($A495="","",IFERROR(VLOOKUP($A495,Sheet1!$A:$AN,39,0),""))</f>
        <v/>
      </c>
      <c r="AN495" s="13" t="str">
        <f>IF($A495="","",IFERROR(VLOOKUP($A495,Sheet1!$A:$AN,40,0),""))</f>
        <v/>
      </c>
    </row>
    <row r="496" customHeight="1" spans="1:40">
      <c r="A496" s="5" t="str">
        <f>IF(Sheet1!$A496="","",Sheet1!$A496)</f>
        <v/>
      </c>
      <c r="B496" s="5" t="str">
        <f t="shared" si="35"/>
        <v/>
      </c>
      <c r="C496" s="5" t="str">
        <f>IF($A496="","",IFERROR(VLOOKUP($A496,Sheet1!$A:$AN,3,0),""))</f>
        <v/>
      </c>
      <c r="D496" s="5" t="str">
        <f t="shared" si="36"/>
        <v/>
      </c>
      <c r="I496" s="5" t="str">
        <f t="shared" si="37"/>
        <v/>
      </c>
      <c r="M496" s="5" t="str">
        <f t="shared" si="38"/>
        <v/>
      </c>
      <c r="R496" s="5" t="str">
        <f>IF($A496="","",IFERROR(VLOOKUP($A496,Sheet1!A:AN,18,0),""))</f>
        <v/>
      </c>
      <c r="S496" s="5" t="str">
        <f>IF($A496="","",IFERROR(VLOOKUP($A496,Sheet1!$A:$AN,19,0),""))</f>
        <v/>
      </c>
      <c r="T496" s="5" t="str">
        <f t="shared" si="39"/>
        <v/>
      </c>
      <c r="U496" s="5" t="str">
        <f>IF($A496="","",IFERROR(VLOOKUP($A496,Sheet1!$A:$AN,21,0),""))</f>
        <v/>
      </c>
      <c r="V496" s="5" t="str">
        <f>IF($A496="","",IFERROR(SUBSTITUTE(VLOOKUP($A496,Sheet1!$A:$AN,22,0),"族",""),""))</f>
        <v/>
      </c>
      <c r="W496" s="5" t="str">
        <f>IF($A496="","",IFERROR(VLOOKUP($A496,Sheet1!$A:$AN,23,0),""))</f>
        <v/>
      </c>
      <c r="X496" s="5" t="str">
        <f>IF($A496="","",IFERROR(VLOOKUP($A496,Sheet1!$A:$AN,24,0),""))</f>
        <v/>
      </c>
      <c r="Y496" s="5" t="str">
        <f>IF($A496="","",IFERROR(VLOOKUP($A496,Sheet1!$A:$AN,25,0),""))</f>
        <v/>
      </c>
      <c r="AK496" s="5" t="str">
        <f>IF($A496="","",IFERROR(VLOOKUP($A496,Sheet1!$A:$AN,37,0),""))</f>
        <v/>
      </c>
      <c r="AL496" s="13" t="str">
        <f>IF($A496="","",IFERROR(VLOOKUP($A496,Sheet1!$A:$AN,38,0),""))</f>
        <v/>
      </c>
      <c r="AM496" s="13" t="str">
        <f>IF($A496="","",IFERROR(VLOOKUP($A496,Sheet1!$A:$AN,39,0),""))</f>
        <v/>
      </c>
      <c r="AN496" s="13" t="str">
        <f>IF($A496="","",IFERROR(VLOOKUP($A496,Sheet1!$A:$AN,40,0),""))</f>
        <v/>
      </c>
    </row>
    <row r="497" customHeight="1" spans="1:40">
      <c r="A497" s="5" t="str">
        <f>IF(Sheet1!$A497="","",Sheet1!$A497)</f>
        <v/>
      </c>
      <c r="B497" s="5" t="str">
        <f t="shared" si="35"/>
        <v/>
      </c>
      <c r="C497" s="5" t="str">
        <f>IF($A497="","",IFERROR(VLOOKUP($A497,Sheet1!$A:$AN,3,0),""))</f>
        <v/>
      </c>
      <c r="D497" s="5" t="str">
        <f t="shared" si="36"/>
        <v/>
      </c>
      <c r="I497" s="5" t="str">
        <f t="shared" si="37"/>
        <v/>
      </c>
      <c r="M497" s="5" t="str">
        <f t="shared" si="38"/>
        <v/>
      </c>
      <c r="R497" s="5" t="str">
        <f>IF($A497="","",IFERROR(VLOOKUP($A497,Sheet1!A:AN,18,0),""))</f>
        <v/>
      </c>
      <c r="S497" s="5" t="str">
        <f>IF($A497="","",IFERROR(VLOOKUP($A497,Sheet1!$A:$AN,19,0),""))</f>
        <v/>
      </c>
      <c r="T497" s="5" t="str">
        <f t="shared" si="39"/>
        <v/>
      </c>
      <c r="U497" s="5" t="str">
        <f>IF($A497="","",IFERROR(VLOOKUP($A497,Sheet1!$A:$AN,21,0),""))</f>
        <v/>
      </c>
      <c r="V497" s="5" t="str">
        <f>IF($A497="","",IFERROR(SUBSTITUTE(VLOOKUP($A497,Sheet1!$A:$AN,22,0),"族",""),""))</f>
        <v/>
      </c>
      <c r="W497" s="5" t="str">
        <f>IF($A497="","",IFERROR(VLOOKUP($A497,Sheet1!$A:$AN,23,0),""))</f>
        <v/>
      </c>
      <c r="X497" s="5" t="str">
        <f>IF($A497="","",IFERROR(VLOOKUP($A497,Sheet1!$A:$AN,24,0),""))</f>
        <v/>
      </c>
      <c r="Y497" s="5" t="str">
        <f>IF($A497="","",IFERROR(VLOOKUP($A497,Sheet1!$A:$AN,25,0),""))</f>
        <v/>
      </c>
      <c r="AK497" s="5" t="str">
        <f>IF($A497="","",IFERROR(VLOOKUP($A497,Sheet1!$A:$AN,37,0),""))</f>
        <v/>
      </c>
      <c r="AL497" s="13" t="str">
        <f>IF($A497="","",IFERROR(VLOOKUP($A497,Sheet1!$A:$AN,38,0),""))</f>
        <v/>
      </c>
      <c r="AM497" s="13" t="str">
        <f>IF($A497="","",IFERROR(VLOOKUP($A497,Sheet1!$A:$AN,39,0),""))</f>
        <v/>
      </c>
      <c r="AN497" s="13" t="str">
        <f>IF($A497="","",IFERROR(VLOOKUP($A497,Sheet1!$A:$AN,40,0),""))</f>
        <v/>
      </c>
    </row>
    <row r="498" customHeight="1" spans="1:40">
      <c r="A498" s="5" t="str">
        <f>IF(Sheet1!$A498="","",Sheet1!$A498)</f>
        <v/>
      </c>
      <c r="B498" s="5" t="str">
        <f t="shared" si="35"/>
        <v/>
      </c>
      <c r="C498" s="5" t="str">
        <f>IF($A498="","",IFERROR(VLOOKUP($A498,Sheet1!$A:$AN,3,0),""))</f>
        <v/>
      </c>
      <c r="D498" s="5" t="str">
        <f t="shared" si="36"/>
        <v/>
      </c>
      <c r="I498" s="5" t="str">
        <f t="shared" si="37"/>
        <v/>
      </c>
      <c r="M498" s="5" t="str">
        <f t="shared" si="38"/>
        <v/>
      </c>
      <c r="R498" s="5" t="str">
        <f>IF($A498="","",IFERROR(VLOOKUP($A498,Sheet1!A:AN,18,0),""))</f>
        <v/>
      </c>
      <c r="S498" s="5" t="str">
        <f>IF($A498="","",IFERROR(VLOOKUP($A498,Sheet1!$A:$AN,19,0),""))</f>
        <v/>
      </c>
      <c r="T498" s="5" t="str">
        <f t="shared" si="39"/>
        <v/>
      </c>
      <c r="U498" s="5" t="str">
        <f>IF($A498="","",IFERROR(VLOOKUP($A498,Sheet1!$A:$AN,21,0),""))</f>
        <v/>
      </c>
      <c r="V498" s="5" t="str">
        <f>IF($A498="","",IFERROR(SUBSTITUTE(VLOOKUP($A498,Sheet1!$A:$AN,22,0),"族",""),""))</f>
        <v/>
      </c>
      <c r="W498" s="5" t="str">
        <f>IF($A498="","",IFERROR(VLOOKUP($A498,Sheet1!$A:$AN,23,0),""))</f>
        <v/>
      </c>
      <c r="X498" s="5" t="str">
        <f>IF($A498="","",IFERROR(VLOOKUP($A498,Sheet1!$A:$AN,24,0),""))</f>
        <v/>
      </c>
      <c r="Y498" s="5" t="str">
        <f>IF($A498="","",IFERROR(VLOOKUP($A498,Sheet1!$A:$AN,25,0),""))</f>
        <v/>
      </c>
      <c r="AK498" s="5" t="str">
        <f>IF($A498="","",IFERROR(VLOOKUP($A498,Sheet1!$A:$AN,37,0),""))</f>
        <v/>
      </c>
      <c r="AL498" s="13" t="str">
        <f>IF($A498="","",IFERROR(VLOOKUP($A498,Sheet1!$A:$AN,38,0),""))</f>
        <v/>
      </c>
      <c r="AM498" s="13" t="str">
        <f>IF($A498="","",IFERROR(VLOOKUP($A498,Sheet1!$A:$AN,39,0),""))</f>
        <v/>
      </c>
      <c r="AN498" s="13" t="str">
        <f>IF($A498="","",IFERROR(VLOOKUP($A498,Sheet1!$A:$AN,40,0),""))</f>
        <v/>
      </c>
    </row>
    <row r="499" customHeight="1" spans="1:40">
      <c r="A499" s="5" t="str">
        <f>IF(Sheet1!$A499="","",Sheet1!$A499)</f>
        <v/>
      </c>
      <c r="B499" s="5" t="str">
        <f t="shared" si="35"/>
        <v/>
      </c>
      <c r="C499" s="5" t="str">
        <f>IF($A499="","",IFERROR(VLOOKUP($A499,Sheet1!$A:$AN,3,0),""))</f>
        <v/>
      </c>
      <c r="D499" s="5" t="str">
        <f t="shared" si="36"/>
        <v/>
      </c>
      <c r="I499" s="5" t="str">
        <f t="shared" si="37"/>
        <v/>
      </c>
      <c r="M499" s="5" t="str">
        <f t="shared" si="38"/>
        <v/>
      </c>
      <c r="R499" s="5" t="str">
        <f>IF($A499="","",IFERROR(VLOOKUP($A499,Sheet1!A:AN,18,0),""))</f>
        <v/>
      </c>
      <c r="S499" s="5" t="str">
        <f>IF($A499="","",IFERROR(VLOOKUP($A499,Sheet1!$A:$AN,19,0),""))</f>
        <v/>
      </c>
      <c r="T499" s="5" t="str">
        <f t="shared" si="39"/>
        <v/>
      </c>
      <c r="U499" s="5" t="str">
        <f>IF($A499="","",IFERROR(VLOOKUP($A499,Sheet1!$A:$AN,21,0),""))</f>
        <v/>
      </c>
      <c r="V499" s="5" t="str">
        <f>IF($A499="","",IFERROR(SUBSTITUTE(VLOOKUP($A499,Sheet1!$A:$AN,22,0),"族",""),""))</f>
        <v/>
      </c>
      <c r="W499" s="5" t="str">
        <f>IF($A499="","",IFERROR(VLOOKUP($A499,Sheet1!$A:$AN,23,0),""))</f>
        <v/>
      </c>
      <c r="X499" s="5" t="str">
        <f>IF($A499="","",IFERROR(VLOOKUP($A499,Sheet1!$A:$AN,24,0),""))</f>
        <v/>
      </c>
      <c r="Y499" s="5" t="str">
        <f>IF($A499="","",IFERROR(VLOOKUP($A499,Sheet1!$A:$AN,25,0),""))</f>
        <v/>
      </c>
      <c r="AK499" s="5" t="str">
        <f>IF($A499="","",IFERROR(VLOOKUP($A499,Sheet1!$A:$AN,37,0),""))</f>
        <v/>
      </c>
      <c r="AL499" s="13" t="str">
        <f>IF($A499="","",IFERROR(VLOOKUP($A499,Sheet1!$A:$AN,38,0),""))</f>
        <v/>
      </c>
      <c r="AM499" s="13" t="str">
        <f>IF($A499="","",IFERROR(VLOOKUP($A499,Sheet1!$A:$AN,39,0),""))</f>
        <v/>
      </c>
      <c r="AN499" s="13" t="str">
        <f>IF($A499="","",IFERROR(VLOOKUP($A499,Sheet1!$A:$AN,40,0),""))</f>
        <v/>
      </c>
    </row>
    <row r="500" customHeight="1" spans="1:40">
      <c r="A500" s="5" t="str">
        <f>IF(Sheet1!$A500="","",Sheet1!$A500)</f>
        <v/>
      </c>
      <c r="B500" s="5" t="str">
        <f t="shared" si="35"/>
        <v/>
      </c>
      <c r="C500" s="5" t="str">
        <f>IF($A500="","",IFERROR(VLOOKUP($A500,Sheet1!$A:$AN,3,0),""))</f>
        <v/>
      </c>
      <c r="D500" s="5" t="str">
        <f t="shared" si="36"/>
        <v/>
      </c>
      <c r="I500" s="5" t="str">
        <f t="shared" si="37"/>
        <v/>
      </c>
      <c r="M500" s="5" t="str">
        <f t="shared" si="38"/>
        <v/>
      </c>
      <c r="R500" s="5" t="str">
        <f>IF($A500="","",IFERROR(VLOOKUP($A500,Sheet1!A:AN,18,0),""))</f>
        <v/>
      </c>
      <c r="S500" s="5" t="str">
        <f>IF($A500="","",IFERROR(VLOOKUP($A500,Sheet1!$A:$AN,19,0),""))</f>
        <v/>
      </c>
      <c r="T500" s="5" t="str">
        <f t="shared" si="39"/>
        <v/>
      </c>
      <c r="U500" s="5" t="str">
        <f>IF($A500="","",IFERROR(VLOOKUP($A500,Sheet1!$A:$AN,21,0),""))</f>
        <v/>
      </c>
      <c r="V500" s="5" t="str">
        <f>IF($A500="","",IFERROR(SUBSTITUTE(VLOOKUP($A500,Sheet1!$A:$AN,22,0),"族",""),""))</f>
        <v/>
      </c>
      <c r="W500" s="5" t="str">
        <f>IF($A500="","",IFERROR(VLOOKUP($A500,Sheet1!$A:$AN,23,0),""))</f>
        <v/>
      </c>
      <c r="X500" s="5" t="str">
        <f>IF($A500="","",IFERROR(VLOOKUP($A500,Sheet1!$A:$AN,24,0),""))</f>
        <v/>
      </c>
      <c r="Y500" s="5" t="str">
        <f>IF($A500="","",IFERROR(VLOOKUP($A500,Sheet1!$A:$AN,25,0),""))</f>
        <v/>
      </c>
      <c r="AK500" s="5" t="str">
        <f>IF($A500="","",IFERROR(VLOOKUP($A500,Sheet1!$A:$AN,37,0),""))</f>
        <v/>
      </c>
      <c r="AL500" s="13" t="str">
        <f>IF($A500="","",IFERROR(VLOOKUP($A500,Sheet1!$A:$AN,38,0),""))</f>
        <v/>
      </c>
      <c r="AM500" s="13" t="str">
        <f>IF($A500="","",IFERROR(VLOOKUP($A500,Sheet1!$A:$AN,39,0),""))</f>
        <v/>
      </c>
      <c r="AN500" s="13" t="str">
        <f>IF($A500="","",IFERROR(VLOOKUP($A500,Sheet1!$A:$AN,40,0),""))</f>
        <v/>
      </c>
    </row>
  </sheetData>
  <sheetProtection selectLockedCells="1" formatCells="0" formatColumns="0" formatRows="0" sort="0" autoFilter="0"/>
  <protectedRanges>
    <protectedRange sqref="E$1:E$1048576 A$1:A$1048576 F$1:F$1048576 G$1:G$1048576 H$1:H$1048576 J$1:J$1048576 K$1:K$1048576 L$1:L$1048576 N$1:N$1048576 O$1:O$1048576 P$1:P$1048576 Q$1:Q$1048576 Z$1:Z$1048576 AA$1:AA$1048576 AB$1:AB$1048576 AC$1:AC$1048576 AD$1:AD$1048576 AE$1:AE$1048576 AF$1:AF$1048576 AG$1:AG$1048576 AH$1:AH$1048576 AI$1:AI$1048576 AJ$1:AJ$1048576" name="区域1" securityDescriptor="O:WDG:WDD:"/>
  </protectedRanges>
  <autoFilter xmlns:etc="http://www.wps.cn/officeDocument/2017/etCustomData" ref="A1:AN50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"/>
  <sheetViews>
    <sheetView workbookViewId="0">
      <selection activeCell="E2" sqref="E2"/>
    </sheetView>
  </sheetViews>
  <sheetFormatPr defaultColWidth="9" defaultRowHeight="13.5"/>
  <cols>
    <col min="3" max="3" width="25.375" customWidth="1"/>
    <col min="7" max="11" width="12.625"/>
    <col min="13" max="13" width="12.625"/>
    <col min="17" max="22" width="12.625"/>
    <col min="23" max="23" width="26.5" customWidth="1"/>
    <col min="24" max="24" width="22.25" customWidth="1"/>
    <col min="25" max="25" width="12.625"/>
    <col min="37" max="37" width="12.625"/>
  </cols>
  <sheetData>
    <row r="1" ht="72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</v>
      </c>
      <c r="S1" s="1" t="s">
        <v>17</v>
      </c>
      <c r="T1" s="1" t="s">
        <v>8</v>
      </c>
      <c r="U1" s="1" t="s">
        <v>9</v>
      </c>
      <c r="V1" s="1" t="s">
        <v>18</v>
      </c>
      <c r="W1" s="1" t="s">
        <v>10</v>
      </c>
      <c r="X1" s="1" t="s">
        <v>11</v>
      </c>
      <c r="Y1" s="1" t="s">
        <v>19</v>
      </c>
      <c r="Z1" s="1" t="s">
        <v>20</v>
      </c>
      <c r="AA1" s="1" t="s">
        <v>21</v>
      </c>
      <c r="AB1" s="1" t="s">
        <v>8</v>
      </c>
      <c r="AC1" s="1" t="s">
        <v>9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19</v>
      </c>
      <c r="AK1" s="1" t="s">
        <v>28</v>
      </c>
      <c r="AL1" s="2" t="s">
        <v>29</v>
      </c>
      <c r="AM1" s="1" t="s">
        <v>30</v>
      </c>
      <c r="AN1" s="1" t="s">
        <v>31</v>
      </c>
    </row>
    <row r="2" ht="20" customHeight="1" spans="1:40">
      <c r="L2" s="3"/>
      <c r="AL2" s="4"/>
      <c r="AM2" s="4"/>
      <c r="AN2" s="4"/>
    </row>
    <row r="3" ht="20" customHeight="1" spans="1:40">
      <c r="L3" s="3"/>
      <c r="AL3" s="4"/>
      <c r="AM3" s="4"/>
      <c r="AN3" s="4"/>
    </row>
    <row r="4" ht="20" customHeight="1" spans="1:40">
      <c r="L4" s="3"/>
      <c r="AL4" s="4"/>
      <c r="AM4" s="4"/>
      <c r="AN4" s="4"/>
    </row>
    <row r="5" ht="20" customHeight="1" spans="1:40">
      <c r="L5" s="3"/>
      <c r="AL5" s="4"/>
      <c r="AM5" s="4"/>
      <c r="AN5" s="4"/>
    </row>
    <row r="6" ht="20" customHeight="1" spans="1:40">
      <c r="L6" s="3"/>
      <c r="AL6" s="4"/>
      <c r="AM6" s="4"/>
      <c r="AN6" s="4"/>
    </row>
    <row r="7" ht="20" customHeight="1" spans="1:40">
      <c r="L7" s="3"/>
      <c r="AL7" s="4"/>
      <c r="AM7" s="4"/>
      <c r="AN7" s="4"/>
    </row>
    <row r="8" ht="20" customHeight="1" spans="1:40">
      <c r="L8" s="3"/>
      <c r="AL8" s="4"/>
      <c r="AM8" s="4"/>
      <c r="AN8" s="4"/>
    </row>
    <row r="9" ht="20" customHeight="1" spans="1:40">
      <c r="L9" s="3"/>
      <c r="AL9" s="4"/>
      <c r="AM9" s="4"/>
      <c r="AN9" s="4"/>
    </row>
    <row r="10" ht="20" customHeight="1" spans="1:40">
      <c r="L10" s="3"/>
      <c r="AL10" s="4"/>
      <c r="AM10" s="4"/>
      <c r="AN10" s="4"/>
    </row>
    <row r="11" ht="20" customHeight="1" spans="1:40">
      <c r="L11" s="3"/>
      <c r="AL11" s="4"/>
      <c r="AM11" s="4"/>
      <c r="AN11" s="4"/>
    </row>
    <row r="12" ht="20" customHeight="1" spans="1:40">
      <c r="L12" s="3"/>
      <c r="AL12" s="4"/>
      <c r="AM12" s="4"/>
      <c r="AN12" s="4"/>
    </row>
    <row r="13" ht="20" customHeight="1" spans="1:40">
      <c r="L13" s="3"/>
      <c r="AL13" s="4"/>
      <c r="AM13" s="4"/>
      <c r="AN13" s="4"/>
    </row>
    <row r="14" ht="20" customHeight="1" spans="1:40">
      <c r="L14" s="3"/>
      <c r="AL14" s="4"/>
      <c r="AM14" s="4"/>
      <c r="AN14" s="4"/>
    </row>
    <row r="15" ht="20" customHeight="1" spans="1:40">
      <c r="L15" s="3"/>
      <c r="AL15" s="4"/>
      <c r="AM15" s="4"/>
      <c r="AN15" s="4"/>
    </row>
    <row r="16" ht="20" customHeight="1" spans="1:40">
      <c r="L16" s="3"/>
      <c r="AL16" s="4"/>
      <c r="AM16" s="4"/>
      <c r="AN16" s="4"/>
    </row>
    <row r="17" ht="20" customHeight="1" spans="12:40">
      <c r="L17" s="3"/>
      <c r="AL17" s="4"/>
      <c r="AM17" s="4"/>
      <c r="AN17" s="4"/>
    </row>
    <row r="18" ht="20" customHeight="1" spans="12:40">
      <c r="L18" s="3"/>
      <c r="AL18" s="4"/>
      <c r="AM18" s="4"/>
      <c r="AN18" s="4"/>
    </row>
    <row r="19" ht="20" customHeight="1" spans="12:40">
      <c r="L19" s="3"/>
      <c r="AL19" s="4"/>
      <c r="AM19" s="4"/>
      <c r="AN19" s="4"/>
    </row>
    <row r="20" ht="20" customHeight="1" spans="12:40">
      <c r="L20" s="3"/>
      <c r="AL20" s="4"/>
      <c r="AM20" s="4"/>
      <c r="AN20" s="4"/>
    </row>
    <row r="21" ht="20" customHeight="1" spans="12:40">
      <c r="L21" s="3"/>
      <c r="AL21" s="4"/>
      <c r="AM21" s="4"/>
      <c r="AN21" s="4"/>
    </row>
    <row r="22" ht="20" customHeight="1" spans="12:40">
      <c r="L22" s="3"/>
      <c r="AL22" s="4"/>
      <c r="AM22" s="4"/>
      <c r="AN22" s="4"/>
    </row>
    <row r="23" ht="20" customHeight="1" spans="12:40">
      <c r="L23" s="3"/>
      <c r="AL23" s="4"/>
      <c r="AM23" s="4"/>
      <c r="AN23" s="4"/>
    </row>
    <row r="24" ht="20" customHeight="1" spans="12:40">
      <c r="L24" s="3"/>
      <c r="AL24" s="4"/>
      <c r="AM24" s="4"/>
      <c r="AN24" s="4"/>
    </row>
    <row r="25" ht="20" customHeight="1" spans="12:40">
      <c r="L25" s="3"/>
      <c r="AL25" s="4"/>
      <c r="AM25" s="4"/>
      <c r="AN25" s="4"/>
    </row>
    <row r="26" ht="20" customHeight="1" spans="12:40">
      <c r="L26" s="3"/>
      <c r="AL26" s="4"/>
      <c r="AM26" s="4"/>
      <c r="AN26" s="4"/>
    </row>
    <row r="27" ht="20" customHeight="1" spans="12:40">
      <c r="L27" s="3"/>
      <c r="AL27" s="4"/>
      <c r="AM27" s="4"/>
      <c r="AN27" s="4"/>
    </row>
    <row r="28" ht="20" customHeight="1" spans="12:40">
      <c r="L28" s="3"/>
      <c r="AL28" s="4"/>
      <c r="AM28" s="4"/>
      <c r="AN28" s="4"/>
    </row>
    <row r="29" ht="20" customHeight="1" spans="12:40">
      <c r="L29" s="3"/>
      <c r="AL29" s="4"/>
      <c r="AM29" s="4"/>
      <c r="AN29" s="4"/>
    </row>
    <row r="30" ht="20" customHeight="1" spans="12:40">
      <c r="L30" s="3"/>
      <c r="AL30" s="4"/>
      <c r="AM30" s="4"/>
      <c r="AN30" s="4"/>
    </row>
    <row r="31" ht="20" customHeight="1" spans="12:40">
      <c r="L31" s="3"/>
      <c r="AL31" s="4"/>
      <c r="AM31" s="4"/>
      <c r="AN31" s="4"/>
    </row>
    <row r="32" ht="20" customHeight="1" spans="12:40">
      <c r="L32" s="3"/>
      <c r="AL32" s="4"/>
      <c r="AM32" s="4"/>
      <c r="AN32" s="4"/>
    </row>
    <row r="33" ht="20" customHeight="1" spans="12:40">
      <c r="L33" s="3"/>
      <c r="AL33" s="4"/>
      <c r="AM33" s="4"/>
      <c r="AN33" s="4"/>
    </row>
    <row r="34" ht="20" customHeight="1" spans="12:40">
      <c r="L34" s="3"/>
      <c r="AL34" s="4"/>
      <c r="AM34" s="4"/>
      <c r="AN34" s="4"/>
    </row>
    <row r="35" ht="20" customHeight="1" spans="12:40">
      <c r="L35" s="3"/>
      <c r="AL35" s="4"/>
      <c r="AM35" s="4"/>
      <c r="AN35" s="4"/>
    </row>
    <row r="36" ht="20" customHeight="1" spans="12:40">
      <c r="L36" s="3"/>
      <c r="AL36" s="4"/>
      <c r="AM36" s="4"/>
      <c r="AN36" s="4"/>
    </row>
    <row r="37" ht="20" customHeight="1" spans="12:40">
      <c r="L37" s="3"/>
      <c r="AL37" s="4"/>
      <c r="AM37" s="4"/>
      <c r="AN37" s="4"/>
    </row>
    <row r="38" ht="20" customHeight="1" spans="12:40">
      <c r="L38" s="3"/>
      <c r="AL38" s="4"/>
      <c r="AM38" s="4"/>
      <c r="AN38" s="4"/>
    </row>
    <row r="39" ht="20" customHeight="1" spans="12:40">
      <c r="L39" s="3"/>
      <c r="AL39" s="4"/>
      <c r="AM39" s="4"/>
      <c r="AN39" s="4"/>
    </row>
    <row r="40" ht="20" customHeight="1" spans="12:40">
      <c r="L40" s="3"/>
      <c r="AL40" s="4"/>
      <c r="AM40" s="4"/>
      <c r="AN40" s="4"/>
    </row>
    <row r="41" ht="20" customHeight="1" spans="12:40">
      <c r="L41" s="3"/>
      <c r="AL41" s="4"/>
      <c r="AM41" s="4"/>
      <c r="AN41" s="4"/>
    </row>
    <row r="42" ht="20" customHeight="1" spans="12:40">
      <c r="L42" s="3"/>
      <c r="AL42" s="4"/>
      <c r="AM42" s="4"/>
      <c r="AN42" s="4"/>
    </row>
    <row r="43" ht="20" customHeight="1" spans="12:40">
      <c r="L43" s="3"/>
      <c r="AL43" s="4"/>
      <c r="AM43" s="4"/>
      <c r="AN43" s="4"/>
    </row>
    <row r="44" ht="20" customHeight="1" spans="12:40">
      <c r="L44" s="3"/>
      <c r="AL44" s="4"/>
      <c r="AM44" s="4"/>
      <c r="AN44" s="4"/>
    </row>
    <row r="45" ht="20" customHeight="1" spans="12:40">
      <c r="L45" s="3"/>
      <c r="AL45" s="4"/>
      <c r="AM45" s="4"/>
      <c r="AN45" s="4"/>
    </row>
    <row r="46" ht="20" customHeight="1" spans="12:40">
      <c r="L46" s="3"/>
      <c r="AL46" s="4"/>
      <c r="AM46" s="4"/>
      <c r="AN46" s="4"/>
    </row>
    <row r="47" ht="20" customHeight="1" spans="12:40">
      <c r="L47" s="3"/>
      <c r="AL47" s="4"/>
      <c r="AM47" s="4"/>
      <c r="AN47" s="4"/>
    </row>
    <row r="48" ht="20" customHeight="1" spans="12:40">
      <c r="L48" s="3"/>
      <c r="AL48" s="4"/>
      <c r="AM48" s="4"/>
      <c r="AN48" s="4"/>
    </row>
    <row r="49" ht="20" customHeight="1" spans="12:40">
      <c r="L49" s="3"/>
      <c r="AL49" s="4"/>
      <c r="AM49" s="4"/>
      <c r="AN49" s="4"/>
    </row>
    <row r="50" ht="20" customHeight="1" spans="12:40">
      <c r="L50" s="3"/>
      <c r="AL50" s="4"/>
      <c r="AM50" s="4"/>
      <c r="AN50" s="4"/>
    </row>
    <row r="51" ht="20" customHeight="1" spans="12:40">
      <c r="L51" s="3"/>
      <c r="AL51" s="4"/>
      <c r="AM51" s="4"/>
      <c r="AN51" s="4"/>
    </row>
    <row r="52" ht="20" customHeight="1" spans="12:40">
      <c r="L52" s="3"/>
      <c r="AL52" s="4"/>
      <c r="AM52" s="4"/>
      <c r="AN52" s="4"/>
    </row>
    <row r="53" ht="20" customHeight="1" spans="12:40">
      <c r="L53" s="3"/>
      <c r="AL53" s="4"/>
      <c r="AM53" s="4"/>
      <c r="AN53" s="4"/>
    </row>
    <row r="54" ht="20" customHeight="1" spans="12:40">
      <c r="L54" s="3"/>
      <c r="AL54" s="4"/>
      <c r="AM54" s="4"/>
      <c r="AN54" s="4"/>
    </row>
    <row r="55" ht="20" customHeight="1" spans="12:40">
      <c r="L55" s="3"/>
      <c r="AL55" s="4"/>
      <c r="AM55" s="4"/>
      <c r="AN55" s="4"/>
    </row>
    <row r="56" ht="20" customHeight="1" spans="12:40">
      <c r="L56" s="3"/>
      <c r="AL56" s="4"/>
      <c r="AM56" s="4"/>
      <c r="AN56" s="4"/>
    </row>
    <row r="57" ht="20" customHeight="1" spans="12:40">
      <c r="L57" s="3"/>
      <c r="AL57" s="4"/>
      <c r="AM57" s="4"/>
      <c r="AN57" s="4"/>
    </row>
    <row r="58" ht="20" customHeight="1" spans="12:40">
      <c r="L58" s="3"/>
      <c r="AL58" s="4"/>
      <c r="AM58" s="4"/>
      <c r="AN58" s="4"/>
    </row>
    <row r="59" ht="20" customHeight="1" spans="12:40">
      <c r="L59" s="3"/>
      <c r="AL59" s="4"/>
      <c r="AM59" s="4"/>
      <c r="AN59" s="4"/>
    </row>
    <row r="60" ht="20" customHeight="1" spans="12:40">
      <c r="L60" s="3"/>
      <c r="AL60" s="4"/>
      <c r="AM60" s="4"/>
      <c r="AN60" s="4"/>
    </row>
    <row r="61" ht="20" customHeight="1" spans="12:40">
      <c r="L61" s="3"/>
      <c r="AL61" s="4"/>
      <c r="AM61" s="4"/>
      <c r="AN61" s="4"/>
    </row>
    <row r="62" ht="20" customHeight="1" spans="12:40">
      <c r="L62" s="3"/>
      <c r="AL62" s="4"/>
      <c r="AM62" s="4"/>
      <c r="AN62" s="4"/>
    </row>
    <row r="63" ht="20" customHeight="1" spans="12:40">
      <c r="L63" s="3"/>
      <c r="AL63" s="4"/>
      <c r="AM63" s="4"/>
      <c r="AN63" s="4"/>
    </row>
    <row r="64" ht="20" customHeight="1" spans="12:40">
      <c r="L64" s="3"/>
      <c r="AL64" s="4"/>
      <c r="AM64" s="4"/>
      <c r="AN64" s="4"/>
    </row>
    <row r="65" ht="20" customHeight="1" spans="12:40">
      <c r="L65" s="3"/>
      <c r="AL65" s="4"/>
      <c r="AM65" s="4"/>
      <c r="AN65" s="4"/>
    </row>
    <row r="66" ht="20" customHeight="1" spans="12:40">
      <c r="L66" s="3"/>
      <c r="AL66" s="4"/>
      <c r="AM66" s="4"/>
      <c r="AN66" s="4"/>
    </row>
    <row r="67" ht="20" customHeight="1" spans="12:40">
      <c r="L67" s="3"/>
      <c r="AL67" s="4"/>
      <c r="AM67" s="4"/>
      <c r="AN67" s="4"/>
    </row>
    <row r="68" ht="20" customHeight="1" spans="12:40">
      <c r="L68" s="3"/>
      <c r="AL68" s="4"/>
      <c r="AM68" s="4"/>
      <c r="AN68" s="4"/>
    </row>
    <row r="69" ht="20" customHeight="1" spans="12:40">
      <c r="L69" s="3"/>
      <c r="AL69" s="4"/>
      <c r="AM69" s="4"/>
      <c r="AN69" s="4"/>
    </row>
    <row r="70" ht="20" customHeight="1" spans="12:40">
      <c r="L70" s="3"/>
      <c r="AL70" s="4"/>
      <c r="AM70" s="4"/>
      <c r="AN70" s="4"/>
    </row>
    <row r="71" ht="20" customHeight="1" spans="12:40">
      <c r="L71" s="3"/>
      <c r="AL71" s="4"/>
      <c r="AM71" s="4"/>
      <c r="AN71" s="4"/>
    </row>
    <row r="72" ht="20" customHeight="1" spans="12:40">
      <c r="L72" s="3"/>
      <c r="AL72" s="4"/>
      <c r="AM72" s="4"/>
      <c r="AN72" s="4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案件基本信息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will.chen</dc:creator>
  <cp:lastModifiedBy>柒</cp:lastModifiedBy>
  <dcterms:created xsi:type="dcterms:W3CDTF">2024-09-24T07:22:00Z</dcterms:created>
  <dcterms:modified xsi:type="dcterms:W3CDTF">2026-03-31T08:25:01Z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6BCD57AFEFF543AA94F0013A1DB39988_13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